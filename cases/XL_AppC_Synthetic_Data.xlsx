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s" sheetId="1" state="visible" r:id="rId3"/>
    <sheet name="Settings" sheetId="2" state="visible" r:id="rId4"/>
    <sheet name="Orders" sheetId="3" state="visible" r:id="rId5"/>
    <sheet name="Monthly" sheetId="4" state="visible" r:id="rId6"/>
    <sheet name="Survey" sheetId="5" state="visible" r:id="rId7"/>
  </sheets>
  <definedNames>
    <definedName function="false" hidden="false" name="ModeCum" vbProcedure="false">Settings!$C$11:$C$14</definedName>
    <definedName function="false" hidden="false" name="ModeLT" vbProcedure="false">Settings!$D$11:$D$14</definedName>
    <definedName function="false" hidden="false" name="ModeName" vbProcedure="false">Settings!$A$11:$A$14</definedName>
    <definedName function="false" hidden="false" name="RegCum" vbProcedure="false">Settings!$C$4:$C$8</definedName>
    <definedName function="false" hidden="false" name="RegName" vbProcedure="false">Settings!$A$4:$A$8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<sst xmlns="http://schemas.openxmlformats.org/spreadsheetml/2006/main" count="50" uniqueCount="47">
  <si>
    <t xml:space="preserve">Appendix C: Creating synthetic supply chain data in Excel</t>
  </si>
  <si>
    <t xml:space="preserve">Settings: category probabilities and parameters (inputs).  Orders: 200 synthetic orders generated with formulas.</t>
  </si>
  <si>
    <t xml:space="preserve">Monthly: a 36-month demand series with trend, seasonality and noise.  Survey: 100 respondents answering four Likert items driven by one latent factor.</t>
  </si>
  <si>
    <t xml:space="preserve">All values change on every recalculation (F9). To keep a data set, copy it and use Paste Values into a new workbook.</t>
  </si>
  <si>
    <t xml:space="preserve">Generator settings</t>
  </si>
  <si>
    <t xml:space="preserve">Region</t>
  </si>
  <si>
    <t xml:space="preserve">Probability</t>
  </si>
  <si>
    <t xml:space="preserve">Cumulative (lower bound)</t>
  </si>
  <si>
    <t xml:space="preserve">Americas</t>
  </si>
  <si>
    <t xml:space="preserve">Asia-Pacific</t>
  </si>
  <si>
    <t xml:space="preserve">Europe</t>
  </si>
  <si>
    <t xml:space="preserve">Africa</t>
  </si>
  <si>
    <t xml:space="preserve">Middle East</t>
  </si>
  <si>
    <t xml:space="preserve">Mode</t>
  </si>
  <si>
    <t xml:space="preserve">Mean lead time (days)</t>
  </si>
  <si>
    <t xml:space="preserve">Road</t>
  </si>
  <si>
    <t xml:space="preserve">Sea</t>
  </si>
  <si>
    <t xml:space="preserve">Air</t>
  </si>
  <si>
    <t xml:space="preserve">Rail</t>
  </si>
  <si>
    <t xml:space="preserve">Lead-time SD within mode (days)</t>
  </si>
  <si>
    <t xml:space="preserve">Extra days for Africa</t>
  </si>
  <si>
    <t xml:space="preserve">Promise buffer (days)</t>
  </si>
  <si>
    <t xml:space="preserve">OrderID</t>
  </si>
  <si>
    <t xml:space="preserve">OrderDate</t>
  </si>
  <si>
    <t xml:space="preserve">TransportMode</t>
  </si>
  <si>
    <t xml:space="preserve">LeadTime</t>
  </si>
  <si>
    <t xml:space="preserve">DeliveryDate</t>
  </si>
  <si>
    <t xml:space="preserve">PromisedDate</t>
  </si>
  <si>
    <t xml:space="preserve">OnTime</t>
  </si>
  <si>
    <t xml:space="preserve">QtyOrdered</t>
  </si>
  <si>
    <t xml:space="preserve">t</t>
  </si>
  <si>
    <t xml:space="preserve">Month</t>
  </si>
  <si>
    <t xml:space="preserve">Trend</t>
  </si>
  <si>
    <t xml:space="preserve">Seasonal index</t>
  </si>
  <si>
    <t xml:space="preserve">Noise</t>
  </si>
  <si>
    <t xml:space="preserve">Demand</t>
  </si>
  <si>
    <t xml:space="preserve">Base level</t>
  </si>
  <si>
    <t xml:space="preserve">Growth per month</t>
  </si>
  <si>
    <t xml:space="preserve">Noise SD (%)</t>
  </si>
  <si>
    <t xml:space="preserve">Respondent</t>
  </si>
  <si>
    <t xml:space="preserve">Latent factor</t>
  </si>
  <si>
    <t xml:space="preserve">Item1</t>
  </si>
  <si>
    <t xml:space="preserve">Item2</t>
  </si>
  <si>
    <t xml:space="preserve">Item3</t>
  </si>
  <si>
    <t xml:space="preserve">Item4 (reverse-worded)</t>
  </si>
  <si>
    <t xml:space="preserve">Item noise SD</t>
  </si>
  <si>
    <t xml:space="preserve">Factor loading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</si>
</sst>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%"/>
    <numFmt numFmtId="166" formatCode="0.0"/>
    <numFmt numFmtId="167" formatCode="0"/>
    <numFmt numFmtId="168" formatCode="yyyy\-mm\-dd"/>
    <numFmt numFmtId="169" formatCode="#,##0"/>
    <numFmt numFmtId="170" formatCode="mmm\ yyyy"/>
    <numFmt numFmtId="171" formatCode="0.00"/>
    <numFmt numFmtId="172" formatCode="0.0%"/>
    <numFmt numFmtId="173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22"/>
  </cols>
  <sheetData>
    <row r="1" customFormat="false" ht="15" hidden="false" customHeight="false" outlineLevel="0" collapsed="false">
      <c r="A1" s="3" t="s">
        <v>4</v>
      </c>
    </row>
    <row r="3" customFormat="false" ht="26.85" hidden="false" customHeight="false" outlineLevel="0" collapsed="false">
      <c r="A3" s="4" t="s">
        <v>5</v>
      </c>
      <c r="B3" s="4" t="s">
        <v>6</v>
      </c>
      <c r="C3" s="4" t="s">
        <v>7</v>
      </c>
    </row>
    <row r="4" customFormat="false" ht="15" hidden="false" customHeight="false" outlineLevel="0" collapsed="false">
      <c r="A4" s="5" t="s">
        <v>8</v>
      </c>
      <c r="B4" s="6" t="n">
        <v>0.27</v>
      </c>
      <c r="C4" s="7" t="n">
        <f aca="false">0</f>
        <v>0</v>
      </c>
    </row>
    <row r="5" customFormat="false" ht="15" hidden="false" customHeight="false" outlineLevel="0" collapsed="false">
      <c r="A5" s="5" t="s">
        <v>9</v>
      </c>
      <c r="B5" s="6" t="n">
        <v>0.29</v>
      </c>
      <c r="C5" s="7" t="n">
        <f aca="false">C4+B4</f>
        <v>0.27</v>
      </c>
    </row>
    <row r="6" customFormat="false" ht="15" hidden="false" customHeight="false" outlineLevel="0" collapsed="false">
      <c r="A6" s="5" t="s">
        <v>10</v>
      </c>
      <c r="B6" s="6" t="n">
        <v>0.24</v>
      </c>
      <c r="C6" s="7" t="n">
        <f aca="false">C5+B5</f>
        <v>0.56</v>
      </c>
    </row>
    <row r="7" customFormat="false" ht="15" hidden="false" customHeight="false" outlineLevel="0" collapsed="false">
      <c r="A7" s="5" t="s">
        <v>11</v>
      </c>
      <c r="B7" s="6" t="n">
        <v>0.1</v>
      </c>
      <c r="C7" s="7" t="n">
        <f aca="false">C6+B6</f>
        <v>0.8</v>
      </c>
    </row>
    <row r="8" customFormat="false" ht="15" hidden="false" customHeight="false" outlineLevel="0" collapsed="false">
      <c r="A8" s="5" t="s">
        <v>12</v>
      </c>
      <c r="B8" s="6" t="n">
        <v>0.1</v>
      </c>
      <c r="C8" s="7" t="n">
        <f aca="false">C7+B7</f>
        <v>0.9</v>
      </c>
    </row>
    <row r="10" customFormat="false" ht="26.85" hidden="false" customHeight="false" outlineLevel="0" collapsed="false">
      <c r="A10" s="4" t="s">
        <v>13</v>
      </c>
      <c r="B10" s="4" t="s">
        <v>6</v>
      </c>
      <c r="C10" s="4" t="s">
        <v>7</v>
      </c>
      <c r="D10" s="4" t="s">
        <v>14</v>
      </c>
    </row>
    <row r="11" customFormat="false" ht="15" hidden="false" customHeight="false" outlineLevel="0" collapsed="false">
      <c r="A11" s="5" t="s">
        <v>15</v>
      </c>
      <c r="B11" s="6" t="n">
        <v>0.42</v>
      </c>
      <c r="C11" s="7" t="n">
        <f aca="false">0</f>
        <v>0</v>
      </c>
      <c r="D11" s="8" t="n">
        <v>6.7</v>
      </c>
    </row>
    <row r="12" customFormat="false" ht="15" hidden="false" customHeight="false" outlineLevel="0" collapsed="false">
      <c r="A12" s="5" t="s">
        <v>16</v>
      </c>
      <c r="B12" s="6" t="n">
        <v>0.27</v>
      </c>
      <c r="C12" s="7" t="n">
        <f aca="false">C11+B11</f>
        <v>0.42</v>
      </c>
      <c r="D12" s="8" t="n">
        <v>20.7</v>
      </c>
    </row>
    <row r="13" customFormat="false" ht="15" hidden="false" customHeight="false" outlineLevel="0" collapsed="false">
      <c r="A13" s="5" t="s">
        <v>17</v>
      </c>
      <c r="B13" s="6" t="n">
        <v>0.2</v>
      </c>
      <c r="C13" s="7" t="n">
        <f aca="false">C12+B12</f>
        <v>0.69</v>
      </c>
      <c r="D13" s="8" t="n">
        <v>4.8</v>
      </c>
    </row>
    <row r="14" customFormat="false" ht="15" hidden="false" customHeight="false" outlineLevel="0" collapsed="false">
      <c r="A14" s="5" t="s">
        <v>18</v>
      </c>
      <c r="B14" s="6" t="n">
        <v>0.11</v>
      </c>
      <c r="C14" s="7" t="n">
        <f aca="false">C13+B13</f>
        <v>0.89</v>
      </c>
      <c r="D14" s="8" t="n">
        <v>10.8</v>
      </c>
    </row>
    <row r="16" customFormat="false" ht="15" hidden="false" customHeight="false" outlineLevel="0" collapsed="false">
      <c r="A16" s="5" t="s">
        <v>19</v>
      </c>
      <c r="B16" s="8" t="n">
        <v>1.5</v>
      </c>
    </row>
    <row r="17" customFormat="false" ht="15" hidden="false" customHeight="false" outlineLevel="0" collapsed="false">
      <c r="A17" s="5" t="s">
        <v>20</v>
      </c>
      <c r="B17" s="9" t="n">
        <v>1</v>
      </c>
    </row>
    <row r="18" customFormat="false" ht="15" hidden="false" customHeight="false" outlineLevel="0" collapsed="false">
      <c r="A18" s="5" t="s">
        <v>21</v>
      </c>
      <c r="B18" s="9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6" style="0" width="13"/>
    <col collapsed="false" customWidth="true" hidden="false" outlineLevel="0" max="8" min="8" style="0" width="9"/>
    <col collapsed="false" customWidth="true" hidden="false" outlineLevel="0" max="9" min="9" style="0" width="12"/>
  </cols>
  <sheetData>
    <row r="1" customFormat="false" ht="26.85" hidden="false" customHeight="false" outlineLevel="0" collapsed="false">
      <c r="A1" s="4" t="s">
        <v>22</v>
      </c>
      <c r="B1" s="4" t="s">
        <v>23</v>
      </c>
      <c r="C1" s="4" t="s">
        <v>5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</row>
    <row r="2" customFormat="false" ht="15" hidden="false" customHeight="false" outlineLevel="0" collapsed="false">
      <c r="A2" s="2" t="str">
        <f aca="false">"ORD-"&amp;TEXT(10000+ROW()-1,"00000")</f>
        <v>ORD-10001</v>
      </c>
      <c r="B2" s="10" t="n">
        <f aca="false">DATE(2025,1,1)+RANDBETWEEN(0,364)</f>
        <v>45773</v>
      </c>
      <c r="C2" s="2" t="str">
        <f aca="true">INDEX(RegName,MATCH(RAND(),RegCum,1))</f>
        <v>Middle East</v>
      </c>
      <c r="D2" s="2" t="str">
        <f aca="true">INDEX(ModeName,MATCH(RAND(),ModeCum,1))</f>
        <v>Road</v>
      </c>
      <c r="E2" s="2" t="n">
        <f aca="true">MAX(1,ROUND(_xlfn.NORM.INV(RAND(),INDEX(ModeLT,MATCH(D2,ModeName,0)),Settings!$B$16),0))+IF(C2="Africa",Settings!$B$17,0)</f>
        <v>7</v>
      </c>
      <c r="F2" s="10" t="n">
        <f aca="false">B2+E2</f>
        <v>45780</v>
      </c>
      <c r="G2" s="10" t="n">
        <f aca="false">B2+ROUND(INDEX(ModeLT,MATCH(D2,ModeName,0)),0)+Settings!$B$18</f>
        <v>45782</v>
      </c>
      <c r="H2" s="2" t="n">
        <f aca="false">IF(F2&lt;=G2,1,0)</f>
        <v>1</v>
      </c>
      <c r="I2" s="2" t="n">
        <f aca="true">ROUND(_xlfn.LOGNORM.INV(RAND(),5.3,0.6),0)</f>
        <v>129</v>
      </c>
    </row>
    <row r="3" customFormat="false" ht="15" hidden="false" customHeight="false" outlineLevel="0" collapsed="false">
      <c r="A3" s="2" t="str">
        <f aca="false">"ORD-"&amp;TEXT(10000+ROW()-1,"00000")</f>
        <v>ORD-10002</v>
      </c>
      <c r="B3" s="10" t="n">
        <f aca="false">DATE(2025,1,1)+RANDBETWEEN(0,364)</f>
        <v>45816</v>
      </c>
      <c r="C3" s="2" t="str">
        <f aca="true">INDEX(RegName,MATCH(RAND(),RegCum,1))</f>
        <v>Americas</v>
      </c>
      <c r="D3" s="2" t="str">
        <f aca="true">INDEX(ModeName,MATCH(RAND(),ModeCum,1))</f>
        <v>Road</v>
      </c>
      <c r="E3" s="2" t="n">
        <f aca="true">MAX(1,ROUND(_xlfn.NORM.INV(RAND(),INDEX(ModeLT,MATCH(D3,ModeName,0)),Settings!$B$16),0))+IF(C3="Africa",Settings!$B$17,0)</f>
        <v>7</v>
      </c>
      <c r="F3" s="10" t="n">
        <f aca="false">B3+E3</f>
        <v>45823</v>
      </c>
      <c r="G3" s="10" t="n">
        <f aca="false">B3+ROUND(INDEX(ModeLT,MATCH(D3,ModeName,0)),0)+Settings!$B$18</f>
        <v>45825</v>
      </c>
      <c r="H3" s="2" t="n">
        <f aca="false">IF(F3&lt;=G3,1,0)</f>
        <v>1</v>
      </c>
      <c r="I3" s="2" t="n">
        <f aca="true">ROUND(_xlfn.LOGNORM.INV(RAND(),5.3,0.6),0)</f>
        <v>503</v>
      </c>
    </row>
    <row r="4" customFormat="false" ht="15" hidden="false" customHeight="false" outlineLevel="0" collapsed="false">
      <c r="A4" s="2" t="str">
        <f aca="false">"ORD-"&amp;TEXT(10000+ROW()-1,"00000")</f>
        <v>ORD-10003</v>
      </c>
      <c r="B4" s="10" t="n">
        <f aca="false">DATE(2025,1,1)+RANDBETWEEN(0,364)</f>
        <v>45944</v>
      </c>
      <c r="C4" s="2" t="str">
        <f aca="true">INDEX(RegName,MATCH(RAND(),RegCum,1))</f>
        <v>Asia-Pacific</v>
      </c>
      <c r="D4" s="2" t="str">
        <f aca="true">INDEX(ModeName,MATCH(RAND(),ModeCum,1))</f>
        <v>Sea</v>
      </c>
      <c r="E4" s="2" t="n">
        <f aca="true">MAX(1,ROUND(_xlfn.NORM.INV(RAND(),INDEX(ModeLT,MATCH(D4,ModeName,0)),Settings!$B$16),0))+IF(C4="Africa",Settings!$B$17,0)</f>
        <v>23</v>
      </c>
      <c r="F4" s="10" t="n">
        <f aca="false">B4+E4</f>
        <v>45967</v>
      </c>
      <c r="G4" s="10" t="n">
        <f aca="false">B4+ROUND(INDEX(ModeLT,MATCH(D4,ModeName,0)),0)+Settings!$B$18</f>
        <v>45967</v>
      </c>
      <c r="H4" s="2" t="n">
        <f aca="false">IF(F4&lt;=G4,1,0)</f>
        <v>1</v>
      </c>
      <c r="I4" s="2" t="n">
        <f aca="true">ROUND(_xlfn.LOGNORM.INV(RAND(),5.3,0.6),0)</f>
        <v>250</v>
      </c>
    </row>
    <row r="5" customFormat="false" ht="15" hidden="false" customHeight="false" outlineLevel="0" collapsed="false">
      <c r="A5" s="2" t="str">
        <f aca="false">"ORD-"&amp;TEXT(10000+ROW()-1,"00000")</f>
        <v>ORD-10004</v>
      </c>
      <c r="B5" s="10" t="n">
        <f aca="false">DATE(2025,1,1)+RANDBETWEEN(0,364)</f>
        <v>45884</v>
      </c>
      <c r="C5" s="2" t="str">
        <f aca="true">INDEX(RegName,MATCH(RAND(),RegCum,1))</f>
        <v>Americas</v>
      </c>
      <c r="D5" s="2" t="str">
        <f aca="true">INDEX(ModeName,MATCH(RAND(),ModeCum,1))</f>
        <v>Road</v>
      </c>
      <c r="E5" s="2" t="n">
        <f aca="true">MAX(1,ROUND(_xlfn.NORM.INV(RAND(),INDEX(ModeLT,MATCH(D5,ModeName,0)),Settings!$B$16),0))+IF(C5="Africa",Settings!$B$17,0)</f>
        <v>7</v>
      </c>
      <c r="F5" s="10" t="n">
        <f aca="false">B5+E5</f>
        <v>45891</v>
      </c>
      <c r="G5" s="10" t="n">
        <f aca="false">B5+ROUND(INDEX(ModeLT,MATCH(D5,ModeName,0)),0)+Settings!$B$18</f>
        <v>45893</v>
      </c>
      <c r="H5" s="2" t="n">
        <f aca="false">IF(F5&lt;=G5,1,0)</f>
        <v>1</v>
      </c>
      <c r="I5" s="2" t="n">
        <f aca="true">ROUND(_xlfn.LOGNORM.INV(RAND(),5.3,0.6),0)</f>
        <v>119</v>
      </c>
    </row>
    <row r="6" customFormat="false" ht="15" hidden="false" customHeight="false" outlineLevel="0" collapsed="false">
      <c r="A6" s="2" t="str">
        <f aca="false">"ORD-"&amp;TEXT(10000+ROW()-1,"00000")</f>
        <v>ORD-10005</v>
      </c>
      <c r="B6" s="10" t="n">
        <f aca="false">DATE(2025,1,1)+RANDBETWEEN(0,364)</f>
        <v>45943</v>
      </c>
      <c r="C6" s="2" t="str">
        <f aca="true">INDEX(RegName,MATCH(RAND(),RegCum,1))</f>
        <v>Asia-Pacific</v>
      </c>
      <c r="D6" s="2" t="str">
        <f aca="true">INDEX(ModeName,MATCH(RAND(),ModeCum,1))</f>
        <v>Road</v>
      </c>
      <c r="E6" s="2" t="n">
        <f aca="true">MAX(1,ROUND(_xlfn.NORM.INV(RAND(),INDEX(ModeLT,MATCH(D6,ModeName,0)),Settings!$B$16),0))+IF(C6="Africa",Settings!$B$17,0)</f>
        <v>6</v>
      </c>
      <c r="F6" s="10" t="n">
        <f aca="false">B6+E6</f>
        <v>45949</v>
      </c>
      <c r="G6" s="10" t="n">
        <f aca="false">B6+ROUND(INDEX(ModeLT,MATCH(D6,ModeName,0)),0)+Settings!$B$18</f>
        <v>45952</v>
      </c>
      <c r="H6" s="2" t="n">
        <f aca="false">IF(F6&lt;=G6,1,0)</f>
        <v>1</v>
      </c>
      <c r="I6" s="2" t="n">
        <f aca="true">ROUND(_xlfn.LOGNORM.INV(RAND(),5.3,0.6),0)</f>
        <v>152</v>
      </c>
    </row>
    <row r="7" customFormat="false" ht="15" hidden="false" customHeight="false" outlineLevel="0" collapsed="false">
      <c r="A7" s="2" t="str">
        <f aca="false">"ORD-"&amp;TEXT(10000+ROW()-1,"00000")</f>
        <v>ORD-10006</v>
      </c>
      <c r="B7" s="10" t="n">
        <f aca="false">DATE(2025,1,1)+RANDBETWEEN(0,364)</f>
        <v>45969</v>
      </c>
      <c r="C7" s="2" t="str">
        <f aca="true">INDEX(RegName,MATCH(RAND(),RegCum,1))</f>
        <v>Asia-Pacific</v>
      </c>
      <c r="D7" s="2" t="str">
        <f aca="true">INDEX(ModeName,MATCH(RAND(),ModeCum,1))</f>
        <v>Sea</v>
      </c>
      <c r="E7" s="2" t="n">
        <f aca="true">MAX(1,ROUND(_xlfn.NORM.INV(RAND(),INDEX(ModeLT,MATCH(D7,ModeName,0)),Settings!$B$16),0))+IF(C7="Africa",Settings!$B$17,0)</f>
        <v>22</v>
      </c>
      <c r="F7" s="10" t="n">
        <f aca="false">B7+E7</f>
        <v>45991</v>
      </c>
      <c r="G7" s="10" t="n">
        <f aca="false">B7+ROUND(INDEX(ModeLT,MATCH(D7,ModeName,0)),0)+Settings!$B$18</f>
        <v>45992</v>
      </c>
      <c r="H7" s="2" t="n">
        <f aca="false">IF(F7&lt;=G7,1,0)</f>
        <v>1</v>
      </c>
      <c r="I7" s="2" t="n">
        <f aca="true">ROUND(_xlfn.LOGNORM.INV(RAND(),5.3,0.6),0)</f>
        <v>401</v>
      </c>
    </row>
    <row r="8" customFormat="false" ht="15" hidden="false" customHeight="false" outlineLevel="0" collapsed="false">
      <c r="A8" s="2" t="str">
        <f aca="false">"ORD-"&amp;TEXT(10000+ROW()-1,"00000")</f>
        <v>ORD-10007</v>
      </c>
      <c r="B8" s="10" t="n">
        <f aca="false">DATE(2025,1,1)+RANDBETWEEN(0,364)</f>
        <v>45672</v>
      </c>
      <c r="C8" s="2" t="str">
        <f aca="true">INDEX(RegName,MATCH(RAND(),RegCum,1))</f>
        <v>Americas</v>
      </c>
      <c r="D8" s="2" t="str">
        <f aca="true">INDEX(ModeName,MATCH(RAND(),ModeCum,1))</f>
        <v>Road</v>
      </c>
      <c r="E8" s="2" t="n">
        <f aca="true">MAX(1,ROUND(_xlfn.NORM.INV(RAND(),INDEX(ModeLT,MATCH(D8,ModeName,0)),Settings!$B$16),0))+IF(C8="Africa",Settings!$B$17,0)</f>
        <v>7</v>
      </c>
      <c r="F8" s="10" t="n">
        <f aca="false">B8+E8</f>
        <v>45679</v>
      </c>
      <c r="G8" s="10" t="n">
        <f aca="false">B8+ROUND(INDEX(ModeLT,MATCH(D8,ModeName,0)),0)+Settings!$B$18</f>
        <v>45681</v>
      </c>
      <c r="H8" s="2" t="n">
        <f aca="false">IF(F8&lt;=G8,1,0)</f>
        <v>1</v>
      </c>
      <c r="I8" s="2" t="n">
        <f aca="true">ROUND(_xlfn.LOGNORM.INV(RAND(),5.3,0.6),0)</f>
        <v>338</v>
      </c>
    </row>
    <row r="9" customFormat="false" ht="15" hidden="false" customHeight="false" outlineLevel="0" collapsed="false">
      <c r="A9" s="2" t="str">
        <f aca="false">"ORD-"&amp;TEXT(10000+ROW()-1,"00000")</f>
        <v>ORD-10008</v>
      </c>
      <c r="B9" s="10" t="n">
        <f aca="false">DATE(2025,1,1)+RANDBETWEEN(0,364)</f>
        <v>45748</v>
      </c>
      <c r="C9" s="2" t="str">
        <f aca="true">INDEX(RegName,MATCH(RAND(),RegCum,1))</f>
        <v>Europe</v>
      </c>
      <c r="D9" s="2" t="str">
        <f aca="true">INDEX(ModeName,MATCH(RAND(),ModeCum,1))</f>
        <v>Sea</v>
      </c>
      <c r="E9" s="2" t="n">
        <f aca="true">MAX(1,ROUND(_xlfn.NORM.INV(RAND(),INDEX(ModeLT,MATCH(D9,ModeName,0)),Settings!$B$16),0))+IF(C9="Africa",Settings!$B$17,0)</f>
        <v>21</v>
      </c>
      <c r="F9" s="10" t="n">
        <f aca="false">B9+E9</f>
        <v>45769</v>
      </c>
      <c r="G9" s="10" t="n">
        <f aca="false">B9+ROUND(INDEX(ModeLT,MATCH(D9,ModeName,0)),0)+Settings!$B$18</f>
        <v>45771</v>
      </c>
      <c r="H9" s="2" t="n">
        <f aca="false">IF(F9&lt;=G9,1,0)</f>
        <v>1</v>
      </c>
      <c r="I9" s="2" t="n">
        <f aca="true">ROUND(_xlfn.LOGNORM.INV(RAND(),5.3,0.6),0)</f>
        <v>330</v>
      </c>
    </row>
    <row r="10" customFormat="false" ht="15" hidden="false" customHeight="false" outlineLevel="0" collapsed="false">
      <c r="A10" s="2" t="str">
        <f aca="false">"ORD-"&amp;TEXT(10000+ROW()-1,"00000")</f>
        <v>ORD-10009</v>
      </c>
      <c r="B10" s="10" t="n">
        <f aca="false">DATE(2025,1,1)+RANDBETWEEN(0,364)</f>
        <v>45937</v>
      </c>
      <c r="C10" s="2" t="str">
        <f aca="true">INDEX(RegName,MATCH(RAND(),RegCum,1))</f>
        <v>Africa</v>
      </c>
      <c r="D10" s="2" t="str">
        <f aca="true">INDEX(ModeName,MATCH(RAND(),ModeCum,1))</f>
        <v>Road</v>
      </c>
      <c r="E10" s="2" t="n">
        <f aca="true">MAX(1,ROUND(_xlfn.NORM.INV(RAND(),INDEX(ModeLT,MATCH(D10,ModeName,0)),Settings!$B$16),0))+IF(C10="Africa",Settings!$B$17,0)</f>
        <v>6</v>
      </c>
      <c r="F10" s="10" t="n">
        <f aca="false">B10+E10</f>
        <v>45943</v>
      </c>
      <c r="G10" s="10" t="n">
        <f aca="false">B10+ROUND(INDEX(ModeLT,MATCH(D10,ModeName,0)),0)+Settings!$B$18</f>
        <v>45946</v>
      </c>
      <c r="H10" s="2" t="n">
        <f aca="false">IF(F10&lt;=G10,1,0)</f>
        <v>1</v>
      </c>
      <c r="I10" s="2" t="n">
        <f aca="true">ROUND(_xlfn.LOGNORM.INV(RAND(),5.3,0.6),0)</f>
        <v>328</v>
      </c>
    </row>
    <row r="11" customFormat="false" ht="15" hidden="false" customHeight="false" outlineLevel="0" collapsed="false">
      <c r="A11" s="2" t="str">
        <f aca="false">"ORD-"&amp;TEXT(10000+ROW()-1,"00000")</f>
        <v>ORD-10010</v>
      </c>
      <c r="B11" s="10" t="n">
        <f aca="false">DATE(2025,1,1)+RANDBETWEEN(0,364)</f>
        <v>45823</v>
      </c>
      <c r="C11" s="2" t="str">
        <f aca="true">INDEX(RegName,MATCH(RAND(),RegCum,1))</f>
        <v>Europe</v>
      </c>
      <c r="D11" s="2" t="str">
        <f aca="true">INDEX(ModeName,MATCH(RAND(),ModeCum,1))</f>
        <v>Sea</v>
      </c>
      <c r="E11" s="2" t="n">
        <f aca="true">MAX(1,ROUND(_xlfn.NORM.INV(RAND(),INDEX(ModeLT,MATCH(D11,ModeName,0)),Settings!$B$16),0))+IF(C11="Africa",Settings!$B$17,0)</f>
        <v>21</v>
      </c>
      <c r="F11" s="10" t="n">
        <f aca="false">B11+E11</f>
        <v>45844</v>
      </c>
      <c r="G11" s="10" t="n">
        <f aca="false">B11+ROUND(INDEX(ModeLT,MATCH(D11,ModeName,0)),0)+Settings!$B$18</f>
        <v>45846</v>
      </c>
      <c r="H11" s="2" t="n">
        <f aca="false">IF(F11&lt;=G11,1,0)</f>
        <v>1</v>
      </c>
      <c r="I11" s="2" t="n">
        <f aca="true">ROUND(_xlfn.LOGNORM.INV(RAND(),5.3,0.6),0)</f>
        <v>415</v>
      </c>
    </row>
    <row r="12" customFormat="false" ht="15" hidden="false" customHeight="false" outlineLevel="0" collapsed="false">
      <c r="A12" s="2" t="str">
        <f aca="false">"ORD-"&amp;TEXT(10000+ROW()-1,"00000")</f>
        <v>ORD-10011</v>
      </c>
      <c r="B12" s="10" t="n">
        <f aca="false">DATE(2025,1,1)+RANDBETWEEN(0,364)</f>
        <v>45834</v>
      </c>
      <c r="C12" s="2" t="str">
        <f aca="true">INDEX(RegName,MATCH(RAND(),RegCum,1))</f>
        <v>Americas</v>
      </c>
      <c r="D12" s="2" t="str">
        <f aca="true">INDEX(ModeName,MATCH(RAND(),ModeCum,1))</f>
        <v>Sea</v>
      </c>
      <c r="E12" s="2" t="n">
        <f aca="true">MAX(1,ROUND(_xlfn.NORM.INV(RAND(),INDEX(ModeLT,MATCH(D12,ModeName,0)),Settings!$B$16),0))+IF(C12="Africa",Settings!$B$17,0)</f>
        <v>21</v>
      </c>
      <c r="F12" s="10" t="n">
        <f aca="false">B12+E12</f>
        <v>45855</v>
      </c>
      <c r="G12" s="10" t="n">
        <f aca="false">B12+ROUND(INDEX(ModeLT,MATCH(D12,ModeName,0)),0)+Settings!$B$18</f>
        <v>45857</v>
      </c>
      <c r="H12" s="2" t="n">
        <f aca="false">IF(F12&lt;=G12,1,0)</f>
        <v>1</v>
      </c>
      <c r="I12" s="2" t="n">
        <f aca="true">ROUND(_xlfn.LOGNORM.INV(RAND(),5.3,0.6),0)</f>
        <v>93</v>
      </c>
    </row>
    <row r="13" customFormat="false" ht="15" hidden="false" customHeight="false" outlineLevel="0" collapsed="false">
      <c r="A13" s="2" t="str">
        <f aca="false">"ORD-"&amp;TEXT(10000+ROW()-1,"00000")</f>
        <v>ORD-10012</v>
      </c>
      <c r="B13" s="10" t="n">
        <f aca="false">DATE(2025,1,1)+RANDBETWEEN(0,364)</f>
        <v>45944</v>
      </c>
      <c r="C13" s="2" t="str">
        <f aca="true">INDEX(RegName,MATCH(RAND(),RegCum,1))</f>
        <v>Middle East</v>
      </c>
      <c r="D13" s="2" t="str">
        <f aca="true">INDEX(ModeName,MATCH(RAND(),ModeCum,1))</f>
        <v>Air</v>
      </c>
      <c r="E13" s="2" t="n">
        <f aca="true">MAX(1,ROUND(_xlfn.NORM.INV(RAND(),INDEX(ModeLT,MATCH(D13,ModeName,0)),Settings!$B$16),0))+IF(C13="Africa",Settings!$B$17,0)</f>
        <v>4</v>
      </c>
      <c r="F13" s="10" t="n">
        <f aca="false">B13+E13</f>
        <v>45948</v>
      </c>
      <c r="G13" s="10" t="n">
        <f aca="false">B13+ROUND(INDEX(ModeLT,MATCH(D13,ModeName,0)),0)+Settings!$B$18</f>
        <v>45951</v>
      </c>
      <c r="H13" s="2" t="n">
        <f aca="false">IF(F13&lt;=G13,1,0)</f>
        <v>1</v>
      </c>
      <c r="I13" s="2" t="n">
        <f aca="true">ROUND(_xlfn.LOGNORM.INV(RAND(),5.3,0.6),0)</f>
        <v>152</v>
      </c>
    </row>
    <row r="14" customFormat="false" ht="15" hidden="false" customHeight="false" outlineLevel="0" collapsed="false">
      <c r="A14" s="2" t="str">
        <f aca="false">"ORD-"&amp;TEXT(10000+ROW()-1,"00000")</f>
        <v>ORD-10013</v>
      </c>
      <c r="B14" s="10" t="n">
        <f aca="false">DATE(2025,1,1)+RANDBETWEEN(0,364)</f>
        <v>46008</v>
      </c>
      <c r="C14" s="2" t="str">
        <f aca="true">INDEX(RegName,MATCH(RAND(),RegCum,1))</f>
        <v>Asia-Pacific</v>
      </c>
      <c r="D14" s="2" t="str">
        <f aca="true">INDEX(ModeName,MATCH(RAND(),ModeCum,1))</f>
        <v>Road</v>
      </c>
      <c r="E14" s="2" t="n">
        <f aca="true">MAX(1,ROUND(_xlfn.NORM.INV(RAND(),INDEX(ModeLT,MATCH(D14,ModeName,0)),Settings!$B$16),0))+IF(C14="Africa",Settings!$B$17,0)</f>
        <v>9</v>
      </c>
      <c r="F14" s="10" t="n">
        <f aca="false">B14+E14</f>
        <v>46017</v>
      </c>
      <c r="G14" s="10" t="n">
        <f aca="false">B14+ROUND(INDEX(ModeLT,MATCH(D14,ModeName,0)),0)+Settings!$B$18</f>
        <v>46017</v>
      </c>
      <c r="H14" s="2" t="n">
        <f aca="false">IF(F14&lt;=G14,1,0)</f>
        <v>1</v>
      </c>
      <c r="I14" s="2" t="n">
        <f aca="true">ROUND(_xlfn.LOGNORM.INV(RAND(),5.3,0.6),0)</f>
        <v>59</v>
      </c>
    </row>
    <row r="15" customFormat="false" ht="15" hidden="false" customHeight="false" outlineLevel="0" collapsed="false">
      <c r="A15" s="2" t="str">
        <f aca="false">"ORD-"&amp;TEXT(10000+ROW()-1,"00000")</f>
        <v>ORD-10014</v>
      </c>
      <c r="B15" s="10" t="n">
        <f aca="false">DATE(2025,1,1)+RANDBETWEEN(0,364)</f>
        <v>45750</v>
      </c>
      <c r="C15" s="2" t="str">
        <f aca="true">INDEX(RegName,MATCH(RAND(),RegCum,1))</f>
        <v>Asia-Pacific</v>
      </c>
      <c r="D15" s="2" t="str">
        <f aca="true">INDEX(ModeName,MATCH(RAND(),ModeCum,1))</f>
        <v>Road</v>
      </c>
      <c r="E15" s="2" t="n">
        <f aca="true">MAX(1,ROUND(_xlfn.NORM.INV(RAND(),INDEX(ModeLT,MATCH(D15,ModeName,0)),Settings!$B$16),0))+IF(C15="Africa",Settings!$B$17,0)</f>
        <v>6</v>
      </c>
      <c r="F15" s="10" t="n">
        <f aca="false">B15+E15</f>
        <v>45756</v>
      </c>
      <c r="G15" s="10" t="n">
        <f aca="false">B15+ROUND(INDEX(ModeLT,MATCH(D15,ModeName,0)),0)+Settings!$B$18</f>
        <v>45759</v>
      </c>
      <c r="H15" s="2" t="n">
        <f aca="false">IF(F15&lt;=G15,1,0)</f>
        <v>1</v>
      </c>
      <c r="I15" s="2" t="n">
        <f aca="true">ROUND(_xlfn.LOGNORM.INV(RAND(),5.3,0.6),0)</f>
        <v>439</v>
      </c>
    </row>
    <row r="16" customFormat="false" ht="15" hidden="false" customHeight="false" outlineLevel="0" collapsed="false">
      <c r="A16" s="2" t="str">
        <f aca="false">"ORD-"&amp;TEXT(10000+ROW()-1,"00000")</f>
        <v>ORD-10015</v>
      </c>
      <c r="B16" s="10" t="n">
        <f aca="false">DATE(2025,1,1)+RANDBETWEEN(0,364)</f>
        <v>45773</v>
      </c>
      <c r="C16" s="2" t="str">
        <f aca="true">INDEX(RegName,MATCH(RAND(),RegCum,1))</f>
        <v>Europe</v>
      </c>
      <c r="D16" s="2" t="str">
        <f aca="true">INDEX(ModeName,MATCH(RAND(),ModeCum,1))</f>
        <v>Sea</v>
      </c>
      <c r="E16" s="2" t="n">
        <f aca="true">MAX(1,ROUND(_xlfn.NORM.INV(RAND(),INDEX(ModeLT,MATCH(D16,ModeName,0)),Settings!$B$16),0))+IF(C16="Africa",Settings!$B$17,0)</f>
        <v>19</v>
      </c>
      <c r="F16" s="10" t="n">
        <f aca="false">B16+E16</f>
        <v>45792</v>
      </c>
      <c r="G16" s="10" t="n">
        <f aca="false">B16+ROUND(INDEX(ModeLT,MATCH(D16,ModeName,0)),0)+Settings!$B$18</f>
        <v>45796</v>
      </c>
      <c r="H16" s="2" t="n">
        <f aca="false">IF(F16&lt;=G16,1,0)</f>
        <v>1</v>
      </c>
      <c r="I16" s="2" t="n">
        <f aca="true">ROUND(_xlfn.LOGNORM.INV(RAND(),5.3,0.6),0)</f>
        <v>74</v>
      </c>
    </row>
    <row r="17" customFormat="false" ht="15" hidden="false" customHeight="false" outlineLevel="0" collapsed="false">
      <c r="A17" s="2" t="str">
        <f aca="false">"ORD-"&amp;TEXT(10000+ROW()-1,"00000")</f>
        <v>ORD-10016</v>
      </c>
      <c r="B17" s="10" t="n">
        <f aca="false">DATE(2025,1,1)+RANDBETWEEN(0,364)</f>
        <v>45906</v>
      </c>
      <c r="C17" s="2" t="str">
        <f aca="true">INDEX(RegName,MATCH(RAND(),RegCum,1))</f>
        <v>Americas</v>
      </c>
      <c r="D17" s="2" t="str">
        <f aca="true">INDEX(ModeName,MATCH(RAND(),ModeCum,1))</f>
        <v>Road</v>
      </c>
      <c r="E17" s="2" t="n">
        <f aca="true">MAX(1,ROUND(_xlfn.NORM.INV(RAND(),INDEX(ModeLT,MATCH(D17,ModeName,0)),Settings!$B$16),0))+IF(C17="Africa",Settings!$B$17,0)</f>
        <v>6</v>
      </c>
      <c r="F17" s="10" t="n">
        <f aca="false">B17+E17</f>
        <v>45912</v>
      </c>
      <c r="G17" s="10" t="n">
        <f aca="false">B17+ROUND(INDEX(ModeLT,MATCH(D17,ModeName,0)),0)+Settings!$B$18</f>
        <v>45915</v>
      </c>
      <c r="H17" s="2" t="n">
        <f aca="false">IF(F17&lt;=G17,1,0)</f>
        <v>1</v>
      </c>
      <c r="I17" s="2" t="n">
        <f aca="true">ROUND(_xlfn.LOGNORM.INV(RAND(),5.3,0.6),0)</f>
        <v>237</v>
      </c>
    </row>
    <row r="18" customFormat="false" ht="15" hidden="false" customHeight="false" outlineLevel="0" collapsed="false">
      <c r="A18" s="2" t="str">
        <f aca="false">"ORD-"&amp;TEXT(10000+ROW()-1,"00000")</f>
        <v>ORD-10017</v>
      </c>
      <c r="B18" s="10" t="n">
        <f aca="false">DATE(2025,1,1)+RANDBETWEEN(0,364)</f>
        <v>45986</v>
      </c>
      <c r="C18" s="2" t="str">
        <f aca="true">INDEX(RegName,MATCH(RAND(),RegCum,1))</f>
        <v>Asia-Pacific</v>
      </c>
      <c r="D18" s="2" t="str">
        <f aca="true">INDEX(ModeName,MATCH(RAND(),ModeCum,1))</f>
        <v>Sea</v>
      </c>
      <c r="E18" s="2" t="n">
        <f aca="true">MAX(1,ROUND(_xlfn.NORM.INV(RAND(),INDEX(ModeLT,MATCH(D18,ModeName,0)),Settings!$B$16),0))+IF(C18="Africa",Settings!$B$17,0)</f>
        <v>21</v>
      </c>
      <c r="F18" s="10" t="n">
        <f aca="false">B18+E18</f>
        <v>46007</v>
      </c>
      <c r="G18" s="10" t="n">
        <f aca="false">B18+ROUND(INDEX(ModeLT,MATCH(D18,ModeName,0)),0)+Settings!$B$18</f>
        <v>46009</v>
      </c>
      <c r="H18" s="2" t="n">
        <f aca="false">IF(F18&lt;=G18,1,0)</f>
        <v>1</v>
      </c>
      <c r="I18" s="2" t="n">
        <f aca="true">ROUND(_xlfn.LOGNORM.INV(RAND(),5.3,0.6),0)</f>
        <v>118</v>
      </c>
    </row>
    <row r="19" customFormat="false" ht="15" hidden="false" customHeight="false" outlineLevel="0" collapsed="false">
      <c r="A19" s="2" t="str">
        <f aca="false">"ORD-"&amp;TEXT(10000+ROW()-1,"00000")</f>
        <v>ORD-10018</v>
      </c>
      <c r="B19" s="10" t="n">
        <f aca="false">DATE(2025,1,1)+RANDBETWEEN(0,364)</f>
        <v>45998</v>
      </c>
      <c r="C19" s="2" t="str">
        <f aca="true">INDEX(RegName,MATCH(RAND(),RegCum,1))</f>
        <v>Africa</v>
      </c>
      <c r="D19" s="2" t="str">
        <f aca="true">INDEX(ModeName,MATCH(RAND(),ModeCum,1))</f>
        <v>Sea</v>
      </c>
      <c r="E19" s="2" t="n">
        <f aca="true">MAX(1,ROUND(_xlfn.NORM.INV(RAND(),INDEX(ModeLT,MATCH(D19,ModeName,0)),Settings!$B$16),0))+IF(C19="Africa",Settings!$B$17,0)</f>
        <v>21</v>
      </c>
      <c r="F19" s="10" t="n">
        <f aca="false">B19+E19</f>
        <v>46019</v>
      </c>
      <c r="G19" s="10" t="n">
        <f aca="false">B19+ROUND(INDEX(ModeLT,MATCH(D19,ModeName,0)),0)+Settings!$B$18</f>
        <v>46021</v>
      </c>
      <c r="H19" s="2" t="n">
        <f aca="false">IF(F19&lt;=G19,1,0)</f>
        <v>1</v>
      </c>
      <c r="I19" s="2" t="n">
        <f aca="true">ROUND(_xlfn.LOGNORM.INV(RAND(),5.3,0.6),0)</f>
        <v>135</v>
      </c>
    </row>
    <row r="20" customFormat="false" ht="15" hidden="false" customHeight="false" outlineLevel="0" collapsed="false">
      <c r="A20" s="2" t="str">
        <f aca="false">"ORD-"&amp;TEXT(10000+ROW()-1,"00000")</f>
        <v>ORD-10019</v>
      </c>
      <c r="B20" s="10" t="n">
        <f aca="false">DATE(2025,1,1)+RANDBETWEEN(0,364)</f>
        <v>45873</v>
      </c>
      <c r="C20" s="2" t="str">
        <f aca="true">INDEX(RegName,MATCH(RAND(),RegCum,1))</f>
        <v>Americas</v>
      </c>
      <c r="D20" s="2" t="str">
        <f aca="true">INDEX(ModeName,MATCH(RAND(),ModeCum,1))</f>
        <v>Sea</v>
      </c>
      <c r="E20" s="2" t="n">
        <f aca="true">MAX(1,ROUND(_xlfn.NORM.INV(RAND(),INDEX(ModeLT,MATCH(D20,ModeName,0)),Settings!$B$16),0))+IF(C20="Africa",Settings!$B$17,0)</f>
        <v>22</v>
      </c>
      <c r="F20" s="10" t="n">
        <f aca="false">B20+E20</f>
        <v>45895</v>
      </c>
      <c r="G20" s="10" t="n">
        <f aca="false">B20+ROUND(INDEX(ModeLT,MATCH(D20,ModeName,0)),0)+Settings!$B$18</f>
        <v>45896</v>
      </c>
      <c r="H20" s="2" t="n">
        <f aca="false">IF(F20&lt;=G20,1,0)</f>
        <v>1</v>
      </c>
      <c r="I20" s="2" t="n">
        <f aca="true">ROUND(_xlfn.LOGNORM.INV(RAND(),5.3,0.6),0)</f>
        <v>270</v>
      </c>
    </row>
    <row r="21" customFormat="false" ht="15" hidden="false" customHeight="false" outlineLevel="0" collapsed="false">
      <c r="A21" s="2" t="str">
        <f aca="false">"ORD-"&amp;TEXT(10000+ROW()-1,"00000")</f>
        <v>ORD-10020</v>
      </c>
      <c r="B21" s="10" t="n">
        <f aca="false">DATE(2025,1,1)+RANDBETWEEN(0,364)</f>
        <v>45677</v>
      </c>
      <c r="C21" s="2" t="str">
        <f aca="true">INDEX(RegName,MATCH(RAND(),RegCum,1))</f>
        <v>Asia-Pacific</v>
      </c>
      <c r="D21" s="2" t="str">
        <f aca="true">INDEX(ModeName,MATCH(RAND(),ModeCum,1))</f>
        <v>Road</v>
      </c>
      <c r="E21" s="2" t="n">
        <f aca="true">MAX(1,ROUND(_xlfn.NORM.INV(RAND(),INDEX(ModeLT,MATCH(D21,ModeName,0)),Settings!$B$16),0))+IF(C21="Africa",Settings!$B$17,0)</f>
        <v>6</v>
      </c>
      <c r="F21" s="10" t="n">
        <f aca="false">B21+E21</f>
        <v>45683</v>
      </c>
      <c r="G21" s="10" t="n">
        <f aca="false">B21+ROUND(INDEX(ModeLT,MATCH(D21,ModeName,0)),0)+Settings!$B$18</f>
        <v>45686</v>
      </c>
      <c r="H21" s="2" t="n">
        <f aca="false">IF(F21&lt;=G21,1,0)</f>
        <v>1</v>
      </c>
      <c r="I21" s="2" t="n">
        <f aca="true">ROUND(_xlfn.LOGNORM.INV(RAND(),5.3,0.6),0)</f>
        <v>93</v>
      </c>
    </row>
    <row r="22" customFormat="false" ht="15" hidden="false" customHeight="false" outlineLevel="0" collapsed="false">
      <c r="A22" s="2" t="str">
        <f aca="false">"ORD-"&amp;TEXT(10000+ROW()-1,"00000")</f>
        <v>ORD-10021</v>
      </c>
      <c r="B22" s="10" t="n">
        <f aca="false">DATE(2025,1,1)+RANDBETWEEN(0,364)</f>
        <v>45713</v>
      </c>
      <c r="C22" s="2" t="str">
        <f aca="true">INDEX(RegName,MATCH(RAND(),RegCum,1))</f>
        <v>Africa</v>
      </c>
      <c r="D22" s="2" t="str">
        <f aca="true">INDEX(ModeName,MATCH(RAND(),ModeCum,1))</f>
        <v>Sea</v>
      </c>
      <c r="E22" s="2" t="n">
        <f aca="true">MAX(1,ROUND(_xlfn.NORM.INV(RAND(),INDEX(ModeLT,MATCH(D22,ModeName,0)),Settings!$B$16),0))+IF(C22="Africa",Settings!$B$17,0)</f>
        <v>22</v>
      </c>
      <c r="F22" s="10" t="n">
        <f aca="false">B22+E22</f>
        <v>45735</v>
      </c>
      <c r="G22" s="10" t="n">
        <f aca="false">B22+ROUND(INDEX(ModeLT,MATCH(D22,ModeName,0)),0)+Settings!$B$18</f>
        <v>45736</v>
      </c>
      <c r="H22" s="2" t="n">
        <f aca="false">IF(F22&lt;=G22,1,0)</f>
        <v>1</v>
      </c>
      <c r="I22" s="2" t="n">
        <f aca="true">ROUND(_xlfn.LOGNORM.INV(RAND(),5.3,0.6),0)</f>
        <v>167</v>
      </c>
    </row>
    <row r="23" customFormat="false" ht="15" hidden="false" customHeight="false" outlineLevel="0" collapsed="false">
      <c r="A23" s="2" t="str">
        <f aca="false">"ORD-"&amp;TEXT(10000+ROW()-1,"00000")</f>
        <v>ORD-10022</v>
      </c>
      <c r="B23" s="10" t="n">
        <f aca="false">DATE(2025,1,1)+RANDBETWEEN(0,364)</f>
        <v>45998</v>
      </c>
      <c r="C23" s="2" t="str">
        <f aca="true">INDEX(RegName,MATCH(RAND(),RegCum,1))</f>
        <v>Europe</v>
      </c>
      <c r="D23" s="2" t="str">
        <f aca="true">INDEX(ModeName,MATCH(RAND(),ModeCum,1))</f>
        <v>Air</v>
      </c>
      <c r="E23" s="2" t="n">
        <f aca="true">MAX(1,ROUND(_xlfn.NORM.INV(RAND(),INDEX(ModeLT,MATCH(D23,ModeName,0)),Settings!$B$16),0))+IF(C23="Africa",Settings!$B$17,0)</f>
        <v>3</v>
      </c>
      <c r="F23" s="10" t="n">
        <f aca="false">B23+E23</f>
        <v>46001</v>
      </c>
      <c r="G23" s="10" t="n">
        <f aca="false">B23+ROUND(INDEX(ModeLT,MATCH(D23,ModeName,0)),0)+Settings!$B$18</f>
        <v>46005</v>
      </c>
      <c r="H23" s="2" t="n">
        <f aca="false">IF(F23&lt;=G23,1,0)</f>
        <v>1</v>
      </c>
      <c r="I23" s="2" t="n">
        <f aca="true">ROUND(_xlfn.LOGNORM.INV(RAND(),5.3,0.6),0)</f>
        <v>161</v>
      </c>
    </row>
    <row r="24" customFormat="false" ht="15" hidden="false" customHeight="false" outlineLevel="0" collapsed="false">
      <c r="A24" s="2" t="str">
        <f aca="false">"ORD-"&amp;TEXT(10000+ROW()-1,"00000")</f>
        <v>ORD-10023</v>
      </c>
      <c r="B24" s="10" t="n">
        <f aca="false">DATE(2025,1,1)+RANDBETWEEN(0,364)</f>
        <v>45754</v>
      </c>
      <c r="C24" s="2" t="str">
        <f aca="true">INDEX(RegName,MATCH(RAND(),RegCum,1))</f>
        <v>Asia-Pacific</v>
      </c>
      <c r="D24" s="2" t="str">
        <f aca="true">INDEX(ModeName,MATCH(RAND(),ModeCum,1))</f>
        <v>Air</v>
      </c>
      <c r="E24" s="2" t="n">
        <f aca="true">MAX(1,ROUND(_xlfn.NORM.INV(RAND(),INDEX(ModeLT,MATCH(D24,ModeName,0)),Settings!$B$16),0))+IF(C24="Africa",Settings!$B$17,0)</f>
        <v>3</v>
      </c>
      <c r="F24" s="10" t="n">
        <f aca="false">B24+E24</f>
        <v>45757</v>
      </c>
      <c r="G24" s="10" t="n">
        <f aca="false">B24+ROUND(INDEX(ModeLT,MATCH(D24,ModeName,0)),0)+Settings!$B$18</f>
        <v>45761</v>
      </c>
      <c r="H24" s="2" t="n">
        <f aca="false">IF(F24&lt;=G24,1,0)</f>
        <v>1</v>
      </c>
      <c r="I24" s="2" t="n">
        <f aca="true">ROUND(_xlfn.LOGNORM.INV(RAND(),5.3,0.6),0)</f>
        <v>125</v>
      </c>
    </row>
    <row r="25" customFormat="false" ht="15" hidden="false" customHeight="false" outlineLevel="0" collapsed="false">
      <c r="A25" s="2" t="str">
        <f aca="false">"ORD-"&amp;TEXT(10000+ROW()-1,"00000")</f>
        <v>ORD-10024</v>
      </c>
      <c r="B25" s="10" t="n">
        <f aca="false">DATE(2025,1,1)+RANDBETWEEN(0,364)</f>
        <v>45838</v>
      </c>
      <c r="C25" s="2" t="str">
        <f aca="true">INDEX(RegName,MATCH(RAND(),RegCum,1))</f>
        <v>Americas</v>
      </c>
      <c r="D25" s="2" t="str">
        <f aca="true">INDEX(ModeName,MATCH(RAND(),ModeCum,1))</f>
        <v>Sea</v>
      </c>
      <c r="E25" s="2" t="n">
        <f aca="true">MAX(1,ROUND(_xlfn.NORM.INV(RAND(),INDEX(ModeLT,MATCH(D25,ModeName,0)),Settings!$B$16),0))+IF(C25="Africa",Settings!$B$17,0)</f>
        <v>22</v>
      </c>
      <c r="F25" s="10" t="n">
        <f aca="false">B25+E25</f>
        <v>45860</v>
      </c>
      <c r="G25" s="10" t="n">
        <f aca="false">B25+ROUND(INDEX(ModeLT,MATCH(D25,ModeName,0)),0)+Settings!$B$18</f>
        <v>45861</v>
      </c>
      <c r="H25" s="2" t="n">
        <f aca="false">IF(F25&lt;=G25,1,0)</f>
        <v>1</v>
      </c>
      <c r="I25" s="2" t="n">
        <f aca="true">ROUND(_xlfn.LOGNORM.INV(RAND(),5.3,0.6),0)</f>
        <v>126</v>
      </c>
    </row>
    <row r="26" customFormat="false" ht="15" hidden="false" customHeight="false" outlineLevel="0" collapsed="false">
      <c r="A26" s="2" t="str">
        <f aca="false">"ORD-"&amp;TEXT(10000+ROW()-1,"00000")</f>
        <v>ORD-10025</v>
      </c>
      <c r="B26" s="10" t="n">
        <f aca="false">DATE(2025,1,1)+RANDBETWEEN(0,364)</f>
        <v>45980</v>
      </c>
      <c r="C26" s="2" t="str">
        <f aca="true">INDEX(RegName,MATCH(RAND(),RegCum,1))</f>
        <v>Europe</v>
      </c>
      <c r="D26" s="2" t="str">
        <f aca="true">INDEX(ModeName,MATCH(RAND(),ModeCum,1))</f>
        <v>Air</v>
      </c>
      <c r="E26" s="2" t="n">
        <f aca="true">MAX(1,ROUND(_xlfn.NORM.INV(RAND(),INDEX(ModeLT,MATCH(D26,ModeName,0)),Settings!$B$16),0))+IF(C26="Africa",Settings!$B$17,0)</f>
        <v>7</v>
      </c>
      <c r="F26" s="10" t="n">
        <f aca="false">B26+E26</f>
        <v>45987</v>
      </c>
      <c r="G26" s="10" t="n">
        <f aca="false">B26+ROUND(INDEX(ModeLT,MATCH(D26,ModeName,0)),0)+Settings!$B$18</f>
        <v>45987</v>
      </c>
      <c r="H26" s="2" t="n">
        <f aca="false">IF(F26&lt;=G26,1,0)</f>
        <v>1</v>
      </c>
      <c r="I26" s="2" t="n">
        <f aca="true">ROUND(_xlfn.LOGNORM.INV(RAND(),5.3,0.6),0)</f>
        <v>321</v>
      </c>
    </row>
    <row r="27" customFormat="false" ht="15" hidden="false" customHeight="false" outlineLevel="0" collapsed="false">
      <c r="A27" s="2" t="str">
        <f aca="false">"ORD-"&amp;TEXT(10000+ROW()-1,"00000")</f>
        <v>ORD-10026</v>
      </c>
      <c r="B27" s="10" t="n">
        <f aca="false">DATE(2025,1,1)+RANDBETWEEN(0,364)</f>
        <v>45944</v>
      </c>
      <c r="C27" s="2" t="str">
        <f aca="true">INDEX(RegName,MATCH(RAND(),RegCum,1))</f>
        <v>Americas</v>
      </c>
      <c r="D27" s="2" t="str">
        <f aca="true">INDEX(ModeName,MATCH(RAND(),ModeCum,1))</f>
        <v>Rail</v>
      </c>
      <c r="E27" s="2" t="n">
        <f aca="true">MAX(1,ROUND(_xlfn.NORM.INV(RAND(),INDEX(ModeLT,MATCH(D27,ModeName,0)),Settings!$B$16),0))+IF(C27="Africa",Settings!$B$17,0)</f>
        <v>12</v>
      </c>
      <c r="F27" s="10" t="n">
        <f aca="false">B27+E27</f>
        <v>45956</v>
      </c>
      <c r="G27" s="10" t="n">
        <f aca="false">B27+ROUND(INDEX(ModeLT,MATCH(D27,ModeName,0)),0)+Settings!$B$18</f>
        <v>45957</v>
      </c>
      <c r="H27" s="2" t="n">
        <f aca="false">IF(F27&lt;=G27,1,0)</f>
        <v>1</v>
      </c>
      <c r="I27" s="2" t="n">
        <f aca="true">ROUND(_xlfn.LOGNORM.INV(RAND(),5.3,0.6),0)</f>
        <v>87</v>
      </c>
    </row>
    <row r="28" customFormat="false" ht="15" hidden="false" customHeight="false" outlineLevel="0" collapsed="false">
      <c r="A28" s="2" t="str">
        <f aca="false">"ORD-"&amp;TEXT(10000+ROW()-1,"00000")</f>
        <v>ORD-10027</v>
      </c>
      <c r="B28" s="10" t="n">
        <f aca="false">DATE(2025,1,1)+RANDBETWEEN(0,364)</f>
        <v>45811</v>
      </c>
      <c r="C28" s="2" t="str">
        <f aca="true">INDEX(RegName,MATCH(RAND(),RegCum,1))</f>
        <v>Americas</v>
      </c>
      <c r="D28" s="2" t="str">
        <f aca="true">INDEX(ModeName,MATCH(RAND(),ModeCum,1))</f>
        <v>Sea</v>
      </c>
      <c r="E28" s="2" t="n">
        <f aca="true">MAX(1,ROUND(_xlfn.NORM.INV(RAND(),INDEX(ModeLT,MATCH(D28,ModeName,0)),Settings!$B$16),0))+IF(C28="Africa",Settings!$B$17,0)</f>
        <v>23</v>
      </c>
      <c r="F28" s="10" t="n">
        <f aca="false">B28+E28</f>
        <v>45834</v>
      </c>
      <c r="G28" s="10" t="n">
        <f aca="false">B28+ROUND(INDEX(ModeLT,MATCH(D28,ModeName,0)),0)+Settings!$B$18</f>
        <v>45834</v>
      </c>
      <c r="H28" s="2" t="n">
        <f aca="false">IF(F28&lt;=G28,1,0)</f>
        <v>1</v>
      </c>
      <c r="I28" s="2" t="n">
        <f aca="true">ROUND(_xlfn.LOGNORM.INV(RAND(),5.3,0.6),0)</f>
        <v>127</v>
      </c>
    </row>
    <row r="29" customFormat="false" ht="15" hidden="false" customHeight="false" outlineLevel="0" collapsed="false">
      <c r="A29" s="2" t="str">
        <f aca="false">"ORD-"&amp;TEXT(10000+ROW()-1,"00000")</f>
        <v>ORD-10028</v>
      </c>
      <c r="B29" s="10" t="n">
        <f aca="false">DATE(2025,1,1)+RANDBETWEEN(0,364)</f>
        <v>45754</v>
      </c>
      <c r="C29" s="2" t="str">
        <f aca="true">INDEX(RegName,MATCH(RAND(),RegCum,1))</f>
        <v>Americas</v>
      </c>
      <c r="D29" s="2" t="str">
        <f aca="true">INDEX(ModeName,MATCH(RAND(),ModeCum,1))</f>
        <v>Sea</v>
      </c>
      <c r="E29" s="2" t="n">
        <f aca="true">MAX(1,ROUND(_xlfn.NORM.INV(RAND(),INDEX(ModeLT,MATCH(D29,ModeName,0)),Settings!$B$16),0))+IF(C29="Africa",Settings!$B$17,0)</f>
        <v>18</v>
      </c>
      <c r="F29" s="10" t="n">
        <f aca="false">B29+E29</f>
        <v>45772</v>
      </c>
      <c r="G29" s="10" t="n">
        <f aca="false">B29+ROUND(INDEX(ModeLT,MATCH(D29,ModeName,0)),0)+Settings!$B$18</f>
        <v>45777</v>
      </c>
      <c r="H29" s="2" t="n">
        <f aca="false">IF(F29&lt;=G29,1,0)</f>
        <v>1</v>
      </c>
      <c r="I29" s="2" t="n">
        <f aca="true">ROUND(_xlfn.LOGNORM.INV(RAND(),5.3,0.6),0)</f>
        <v>365</v>
      </c>
    </row>
    <row r="30" customFormat="false" ht="15" hidden="false" customHeight="false" outlineLevel="0" collapsed="false">
      <c r="A30" s="2" t="str">
        <f aca="false">"ORD-"&amp;TEXT(10000+ROW()-1,"00000")</f>
        <v>ORD-10029</v>
      </c>
      <c r="B30" s="10" t="n">
        <f aca="false">DATE(2025,1,1)+RANDBETWEEN(0,364)</f>
        <v>45913</v>
      </c>
      <c r="C30" s="2" t="str">
        <f aca="true">INDEX(RegName,MATCH(RAND(),RegCum,1))</f>
        <v>Africa</v>
      </c>
      <c r="D30" s="2" t="str">
        <f aca="true">INDEX(ModeName,MATCH(RAND(),ModeCum,1))</f>
        <v>Road</v>
      </c>
      <c r="E30" s="2" t="n">
        <f aca="true">MAX(1,ROUND(_xlfn.NORM.INV(RAND(),INDEX(ModeLT,MATCH(D30,ModeName,0)),Settings!$B$16),0))+IF(C30="Africa",Settings!$B$17,0)</f>
        <v>9</v>
      </c>
      <c r="F30" s="10" t="n">
        <f aca="false">B30+E30</f>
        <v>45922</v>
      </c>
      <c r="G30" s="10" t="n">
        <f aca="false">B30+ROUND(INDEX(ModeLT,MATCH(D30,ModeName,0)),0)+Settings!$B$18</f>
        <v>45922</v>
      </c>
      <c r="H30" s="2" t="n">
        <f aca="false">IF(F30&lt;=G30,1,0)</f>
        <v>1</v>
      </c>
      <c r="I30" s="2" t="n">
        <f aca="true">ROUND(_xlfn.LOGNORM.INV(RAND(),5.3,0.6),0)</f>
        <v>320</v>
      </c>
    </row>
    <row r="31" customFormat="false" ht="15" hidden="false" customHeight="false" outlineLevel="0" collapsed="false">
      <c r="A31" s="2" t="str">
        <f aca="false">"ORD-"&amp;TEXT(10000+ROW()-1,"00000")</f>
        <v>ORD-10030</v>
      </c>
      <c r="B31" s="10" t="n">
        <f aca="false">DATE(2025,1,1)+RANDBETWEEN(0,364)</f>
        <v>45892</v>
      </c>
      <c r="C31" s="2" t="str">
        <f aca="true">INDEX(RegName,MATCH(RAND(),RegCum,1))</f>
        <v>Europe</v>
      </c>
      <c r="D31" s="2" t="str">
        <f aca="true">INDEX(ModeName,MATCH(RAND(),ModeCum,1))</f>
        <v>Rail</v>
      </c>
      <c r="E31" s="2" t="n">
        <f aca="true">MAX(1,ROUND(_xlfn.NORM.INV(RAND(),INDEX(ModeLT,MATCH(D31,ModeName,0)),Settings!$B$16),0))+IF(C31="Africa",Settings!$B$17,0)</f>
        <v>9</v>
      </c>
      <c r="F31" s="10" t="n">
        <f aca="false">B31+E31</f>
        <v>45901</v>
      </c>
      <c r="G31" s="10" t="n">
        <f aca="false">B31+ROUND(INDEX(ModeLT,MATCH(D31,ModeName,0)),0)+Settings!$B$18</f>
        <v>45905</v>
      </c>
      <c r="H31" s="2" t="n">
        <f aca="false">IF(F31&lt;=G31,1,0)</f>
        <v>1</v>
      </c>
      <c r="I31" s="2" t="n">
        <f aca="true">ROUND(_xlfn.LOGNORM.INV(RAND(),5.3,0.6),0)</f>
        <v>517</v>
      </c>
    </row>
    <row r="32" customFormat="false" ht="15" hidden="false" customHeight="false" outlineLevel="0" collapsed="false">
      <c r="A32" s="2" t="str">
        <f aca="false">"ORD-"&amp;TEXT(10000+ROW()-1,"00000")</f>
        <v>ORD-10031</v>
      </c>
      <c r="B32" s="10" t="n">
        <f aca="false">DATE(2025,1,1)+RANDBETWEEN(0,364)</f>
        <v>45869</v>
      </c>
      <c r="C32" s="2" t="str">
        <f aca="true">INDEX(RegName,MATCH(RAND(),RegCum,1))</f>
        <v>Middle East</v>
      </c>
      <c r="D32" s="2" t="str">
        <f aca="true">INDEX(ModeName,MATCH(RAND(),ModeCum,1))</f>
        <v>Road</v>
      </c>
      <c r="E32" s="2" t="n">
        <f aca="true">MAX(1,ROUND(_xlfn.NORM.INV(RAND(),INDEX(ModeLT,MATCH(D32,ModeName,0)),Settings!$B$16),0))+IF(C32="Africa",Settings!$B$17,0)</f>
        <v>7</v>
      </c>
      <c r="F32" s="10" t="n">
        <f aca="false">B32+E32</f>
        <v>45876</v>
      </c>
      <c r="G32" s="10" t="n">
        <f aca="false">B32+ROUND(INDEX(ModeLT,MATCH(D32,ModeName,0)),0)+Settings!$B$18</f>
        <v>45878</v>
      </c>
      <c r="H32" s="2" t="n">
        <f aca="false">IF(F32&lt;=G32,1,0)</f>
        <v>1</v>
      </c>
      <c r="I32" s="2" t="n">
        <f aca="true">ROUND(_xlfn.LOGNORM.INV(RAND(),5.3,0.6),0)</f>
        <v>144</v>
      </c>
    </row>
    <row r="33" customFormat="false" ht="15" hidden="false" customHeight="false" outlineLevel="0" collapsed="false">
      <c r="A33" s="2" t="str">
        <f aca="false">"ORD-"&amp;TEXT(10000+ROW()-1,"00000")</f>
        <v>ORD-10032</v>
      </c>
      <c r="B33" s="10" t="n">
        <f aca="false">DATE(2025,1,1)+RANDBETWEEN(0,364)</f>
        <v>45747</v>
      </c>
      <c r="C33" s="2" t="str">
        <f aca="true">INDEX(RegName,MATCH(RAND(),RegCum,1))</f>
        <v>Europe</v>
      </c>
      <c r="D33" s="2" t="str">
        <f aca="true">INDEX(ModeName,MATCH(RAND(),ModeCum,1))</f>
        <v>Sea</v>
      </c>
      <c r="E33" s="2" t="n">
        <f aca="true">MAX(1,ROUND(_xlfn.NORM.INV(RAND(),INDEX(ModeLT,MATCH(D33,ModeName,0)),Settings!$B$16),0))+IF(C33="Africa",Settings!$B$17,0)</f>
        <v>21</v>
      </c>
      <c r="F33" s="10" t="n">
        <f aca="false">B33+E33</f>
        <v>45768</v>
      </c>
      <c r="G33" s="10" t="n">
        <f aca="false">B33+ROUND(INDEX(ModeLT,MATCH(D33,ModeName,0)),0)+Settings!$B$18</f>
        <v>45770</v>
      </c>
      <c r="H33" s="2" t="n">
        <f aca="false">IF(F33&lt;=G33,1,0)</f>
        <v>1</v>
      </c>
      <c r="I33" s="2" t="n">
        <f aca="true">ROUND(_xlfn.LOGNORM.INV(RAND(),5.3,0.6),0)</f>
        <v>112</v>
      </c>
    </row>
    <row r="34" customFormat="false" ht="15" hidden="false" customHeight="false" outlineLevel="0" collapsed="false">
      <c r="A34" s="2" t="str">
        <f aca="false">"ORD-"&amp;TEXT(10000+ROW()-1,"00000")</f>
        <v>ORD-10033</v>
      </c>
      <c r="B34" s="10" t="n">
        <f aca="false">DATE(2025,1,1)+RANDBETWEEN(0,364)</f>
        <v>45892</v>
      </c>
      <c r="C34" s="2" t="str">
        <f aca="true">INDEX(RegName,MATCH(RAND(),RegCum,1))</f>
        <v>Asia-Pacific</v>
      </c>
      <c r="D34" s="2" t="str">
        <f aca="true">INDEX(ModeName,MATCH(RAND(),ModeCum,1))</f>
        <v>Air</v>
      </c>
      <c r="E34" s="2" t="n">
        <f aca="true">MAX(1,ROUND(_xlfn.NORM.INV(RAND(),INDEX(ModeLT,MATCH(D34,ModeName,0)),Settings!$B$16),0))+IF(C34="Africa",Settings!$B$17,0)</f>
        <v>6</v>
      </c>
      <c r="F34" s="10" t="n">
        <f aca="false">B34+E34</f>
        <v>45898</v>
      </c>
      <c r="G34" s="10" t="n">
        <f aca="false">B34+ROUND(INDEX(ModeLT,MATCH(D34,ModeName,0)),0)+Settings!$B$18</f>
        <v>45899</v>
      </c>
      <c r="H34" s="2" t="n">
        <f aca="false">IF(F34&lt;=G34,1,0)</f>
        <v>1</v>
      </c>
      <c r="I34" s="2" t="n">
        <f aca="true">ROUND(_xlfn.LOGNORM.INV(RAND(),5.3,0.6),0)</f>
        <v>186</v>
      </c>
    </row>
    <row r="35" customFormat="false" ht="15" hidden="false" customHeight="false" outlineLevel="0" collapsed="false">
      <c r="A35" s="2" t="str">
        <f aca="false">"ORD-"&amp;TEXT(10000+ROW()-1,"00000")</f>
        <v>ORD-10034</v>
      </c>
      <c r="B35" s="10" t="n">
        <f aca="false">DATE(2025,1,1)+RANDBETWEEN(0,364)</f>
        <v>46018</v>
      </c>
      <c r="C35" s="2" t="str">
        <f aca="true">INDEX(RegName,MATCH(RAND(),RegCum,1))</f>
        <v>Middle East</v>
      </c>
      <c r="D35" s="2" t="str">
        <f aca="true">INDEX(ModeName,MATCH(RAND(),ModeCum,1))</f>
        <v>Sea</v>
      </c>
      <c r="E35" s="2" t="n">
        <f aca="true">MAX(1,ROUND(_xlfn.NORM.INV(RAND(),INDEX(ModeLT,MATCH(D35,ModeName,0)),Settings!$B$16),0))+IF(C35="Africa",Settings!$B$17,0)</f>
        <v>20</v>
      </c>
      <c r="F35" s="10" t="n">
        <f aca="false">B35+E35</f>
        <v>46038</v>
      </c>
      <c r="G35" s="10" t="n">
        <f aca="false">B35+ROUND(INDEX(ModeLT,MATCH(D35,ModeName,0)),0)+Settings!$B$18</f>
        <v>46041</v>
      </c>
      <c r="H35" s="2" t="n">
        <f aca="false">IF(F35&lt;=G35,1,0)</f>
        <v>1</v>
      </c>
      <c r="I35" s="2" t="n">
        <f aca="true">ROUND(_xlfn.LOGNORM.INV(RAND(),5.3,0.6),0)</f>
        <v>87</v>
      </c>
    </row>
    <row r="36" customFormat="false" ht="15" hidden="false" customHeight="false" outlineLevel="0" collapsed="false">
      <c r="A36" s="2" t="str">
        <f aca="false">"ORD-"&amp;TEXT(10000+ROW()-1,"00000")</f>
        <v>ORD-10035</v>
      </c>
      <c r="B36" s="10" t="n">
        <f aca="false">DATE(2025,1,1)+RANDBETWEEN(0,364)</f>
        <v>45892</v>
      </c>
      <c r="C36" s="2" t="str">
        <f aca="true">INDEX(RegName,MATCH(RAND(),RegCum,1))</f>
        <v>Americas</v>
      </c>
      <c r="D36" s="2" t="str">
        <f aca="true">INDEX(ModeName,MATCH(RAND(),ModeCum,1))</f>
        <v>Road</v>
      </c>
      <c r="E36" s="2" t="n">
        <f aca="true">MAX(1,ROUND(_xlfn.NORM.INV(RAND(),INDEX(ModeLT,MATCH(D36,ModeName,0)),Settings!$B$16),0))+IF(C36="Africa",Settings!$B$17,0)</f>
        <v>6</v>
      </c>
      <c r="F36" s="10" t="n">
        <f aca="false">B36+E36</f>
        <v>45898</v>
      </c>
      <c r="G36" s="10" t="n">
        <f aca="false">B36+ROUND(INDEX(ModeLT,MATCH(D36,ModeName,0)),0)+Settings!$B$18</f>
        <v>45901</v>
      </c>
      <c r="H36" s="2" t="n">
        <f aca="false">IF(F36&lt;=G36,1,0)</f>
        <v>1</v>
      </c>
      <c r="I36" s="2" t="n">
        <f aca="true">ROUND(_xlfn.LOGNORM.INV(RAND(),5.3,0.6),0)</f>
        <v>141</v>
      </c>
    </row>
    <row r="37" customFormat="false" ht="15" hidden="false" customHeight="false" outlineLevel="0" collapsed="false">
      <c r="A37" s="2" t="str">
        <f aca="false">"ORD-"&amp;TEXT(10000+ROW()-1,"00000")</f>
        <v>ORD-10036</v>
      </c>
      <c r="B37" s="10" t="n">
        <f aca="false">DATE(2025,1,1)+RANDBETWEEN(0,364)</f>
        <v>45964</v>
      </c>
      <c r="C37" s="2" t="str">
        <f aca="true">INDEX(RegName,MATCH(RAND(),RegCum,1))</f>
        <v>Europe</v>
      </c>
      <c r="D37" s="2" t="str">
        <f aca="true">INDEX(ModeName,MATCH(RAND(),ModeCum,1))</f>
        <v>Air</v>
      </c>
      <c r="E37" s="2" t="n">
        <f aca="true">MAX(1,ROUND(_xlfn.NORM.INV(RAND(),INDEX(ModeLT,MATCH(D37,ModeName,0)),Settings!$B$16),0))+IF(C37="Africa",Settings!$B$17,0)</f>
        <v>5</v>
      </c>
      <c r="F37" s="10" t="n">
        <f aca="false">B37+E37</f>
        <v>45969</v>
      </c>
      <c r="G37" s="10" t="n">
        <f aca="false">B37+ROUND(INDEX(ModeLT,MATCH(D37,ModeName,0)),0)+Settings!$B$18</f>
        <v>45971</v>
      </c>
      <c r="H37" s="2" t="n">
        <f aca="false">IF(F37&lt;=G37,1,0)</f>
        <v>1</v>
      </c>
      <c r="I37" s="2" t="n">
        <f aca="true">ROUND(_xlfn.LOGNORM.INV(RAND(),5.3,0.6),0)</f>
        <v>90</v>
      </c>
    </row>
    <row r="38" customFormat="false" ht="15" hidden="false" customHeight="false" outlineLevel="0" collapsed="false">
      <c r="A38" s="2" t="str">
        <f aca="false">"ORD-"&amp;TEXT(10000+ROW()-1,"00000")</f>
        <v>ORD-10037</v>
      </c>
      <c r="B38" s="10" t="n">
        <f aca="false">DATE(2025,1,1)+RANDBETWEEN(0,364)</f>
        <v>45728</v>
      </c>
      <c r="C38" s="2" t="str">
        <f aca="true">INDEX(RegName,MATCH(RAND(),RegCum,1))</f>
        <v>Asia-Pacific</v>
      </c>
      <c r="D38" s="2" t="str">
        <f aca="true">INDEX(ModeName,MATCH(RAND(),ModeCum,1))</f>
        <v>Road</v>
      </c>
      <c r="E38" s="2" t="n">
        <f aca="true">MAX(1,ROUND(_xlfn.NORM.INV(RAND(),INDEX(ModeLT,MATCH(D38,ModeName,0)),Settings!$B$16),0))+IF(C38="Africa",Settings!$B$17,0)</f>
        <v>4</v>
      </c>
      <c r="F38" s="10" t="n">
        <f aca="false">B38+E38</f>
        <v>45732</v>
      </c>
      <c r="G38" s="10" t="n">
        <f aca="false">B38+ROUND(INDEX(ModeLT,MATCH(D38,ModeName,0)),0)+Settings!$B$18</f>
        <v>45737</v>
      </c>
      <c r="H38" s="2" t="n">
        <f aca="false">IF(F38&lt;=G38,1,0)</f>
        <v>1</v>
      </c>
      <c r="I38" s="2" t="n">
        <f aca="true">ROUND(_xlfn.LOGNORM.INV(RAND(),5.3,0.6),0)</f>
        <v>154</v>
      </c>
    </row>
    <row r="39" customFormat="false" ht="15" hidden="false" customHeight="false" outlineLevel="0" collapsed="false">
      <c r="A39" s="2" t="str">
        <f aca="false">"ORD-"&amp;TEXT(10000+ROW()-1,"00000")</f>
        <v>ORD-10038</v>
      </c>
      <c r="B39" s="10" t="n">
        <f aca="false">DATE(2025,1,1)+RANDBETWEEN(0,364)</f>
        <v>45990</v>
      </c>
      <c r="C39" s="2" t="str">
        <f aca="true">INDEX(RegName,MATCH(RAND(),RegCum,1))</f>
        <v>Americas</v>
      </c>
      <c r="D39" s="2" t="str">
        <f aca="true">INDEX(ModeName,MATCH(RAND(),ModeCum,1))</f>
        <v>Air</v>
      </c>
      <c r="E39" s="2" t="n">
        <f aca="true">MAX(1,ROUND(_xlfn.NORM.INV(RAND(),INDEX(ModeLT,MATCH(D39,ModeName,0)),Settings!$B$16),0))+IF(C39="Africa",Settings!$B$17,0)</f>
        <v>4</v>
      </c>
      <c r="F39" s="10" t="n">
        <f aca="false">B39+E39</f>
        <v>45994</v>
      </c>
      <c r="G39" s="10" t="n">
        <f aca="false">B39+ROUND(INDEX(ModeLT,MATCH(D39,ModeName,0)),0)+Settings!$B$18</f>
        <v>45997</v>
      </c>
      <c r="H39" s="2" t="n">
        <f aca="false">IF(F39&lt;=G39,1,0)</f>
        <v>1</v>
      </c>
      <c r="I39" s="2" t="n">
        <f aca="true">ROUND(_xlfn.LOGNORM.INV(RAND(),5.3,0.6),0)</f>
        <v>95</v>
      </c>
    </row>
    <row r="40" customFormat="false" ht="15" hidden="false" customHeight="false" outlineLevel="0" collapsed="false">
      <c r="A40" s="2" t="str">
        <f aca="false">"ORD-"&amp;TEXT(10000+ROW()-1,"00000")</f>
        <v>ORD-10039</v>
      </c>
      <c r="B40" s="10" t="n">
        <f aca="false">DATE(2025,1,1)+RANDBETWEEN(0,364)</f>
        <v>45729</v>
      </c>
      <c r="C40" s="2" t="str">
        <f aca="true">INDEX(RegName,MATCH(RAND(),RegCum,1))</f>
        <v>Middle East</v>
      </c>
      <c r="D40" s="2" t="str">
        <f aca="true">INDEX(ModeName,MATCH(RAND(),ModeCum,1))</f>
        <v>Air</v>
      </c>
      <c r="E40" s="2" t="n">
        <f aca="true">MAX(1,ROUND(_xlfn.NORM.INV(RAND(),INDEX(ModeLT,MATCH(D40,ModeName,0)),Settings!$B$16),0))+IF(C40="Africa",Settings!$B$17,0)</f>
        <v>5</v>
      </c>
      <c r="F40" s="10" t="n">
        <f aca="false">B40+E40</f>
        <v>45734</v>
      </c>
      <c r="G40" s="10" t="n">
        <f aca="false">B40+ROUND(INDEX(ModeLT,MATCH(D40,ModeName,0)),0)+Settings!$B$18</f>
        <v>45736</v>
      </c>
      <c r="H40" s="2" t="n">
        <f aca="false">IF(F40&lt;=G40,1,0)</f>
        <v>1</v>
      </c>
      <c r="I40" s="2" t="n">
        <f aca="true">ROUND(_xlfn.LOGNORM.INV(RAND(),5.3,0.6),0)</f>
        <v>133</v>
      </c>
    </row>
    <row r="41" customFormat="false" ht="15" hidden="false" customHeight="false" outlineLevel="0" collapsed="false">
      <c r="A41" s="2" t="str">
        <f aca="false">"ORD-"&amp;TEXT(10000+ROW()-1,"00000")</f>
        <v>ORD-10040</v>
      </c>
      <c r="B41" s="10" t="n">
        <f aca="false">DATE(2025,1,1)+RANDBETWEEN(0,364)</f>
        <v>45761</v>
      </c>
      <c r="C41" s="2" t="str">
        <f aca="true">INDEX(RegName,MATCH(RAND(),RegCum,1))</f>
        <v>Middle East</v>
      </c>
      <c r="D41" s="2" t="str">
        <f aca="true">INDEX(ModeName,MATCH(RAND(),ModeCum,1))</f>
        <v>Sea</v>
      </c>
      <c r="E41" s="2" t="n">
        <f aca="true">MAX(1,ROUND(_xlfn.NORM.INV(RAND(),INDEX(ModeLT,MATCH(D41,ModeName,0)),Settings!$B$16),0))+IF(C41="Africa",Settings!$B$17,0)</f>
        <v>20</v>
      </c>
      <c r="F41" s="10" t="n">
        <f aca="false">B41+E41</f>
        <v>45781</v>
      </c>
      <c r="G41" s="10" t="n">
        <f aca="false">B41+ROUND(INDEX(ModeLT,MATCH(D41,ModeName,0)),0)+Settings!$B$18</f>
        <v>45784</v>
      </c>
      <c r="H41" s="2" t="n">
        <f aca="false">IF(F41&lt;=G41,1,0)</f>
        <v>1</v>
      </c>
      <c r="I41" s="2" t="n">
        <f aca="true">ROUND(_xlfn.LOGNORM.INV(RAND(),5.3,0.6),0)</f>
        <v>288</v>
      </c>
    </row>
    <row r="42" customFormat="false" ht="15" hidden="false" customHeight="false" outlineLevel="0" collapsed="false">
      <c r="A42" s="2" t="str">
        <f aca="false">"ORD-"&amp;TEXT(10000+ROW()-1,"00000")</f>
        <v>ORD-10041</v>
      </c>
      <c r="B42" s="10" t="n">
        <f aca="false">DATE(2025,1,1)+RANDBETWEEN(0,364)</f>
        <v>45910</v>
      </c>
      <c r="C42" s="2" t="str">
        <f aca="true">INDEX(RegName,MATCH(RAND(),RegCum,1))</f>
        <v>Europe</v>
      </c>
      <c r="D42" s="2" t="str">
        <f aca="true">INDEX(ModeName,MATCH(RAND(),ModeCum,1))</f>
        <v>Road</v>
      </c>
      <c r="E42" s="2" t="n">
        <f aca="true">MAX(1,ROUND(_xlfn.NORM.INV(RAND(),INDEX(ModeLT,MATCH(D42,ModeName,0)),Settings!$B$16),0))+IF(C42="Africa",Settings!$B$17,0)</f>
        <v>8</v>
      </c>
      <c r="F42" s="10" t="n">
        <f aca="false">B42+E42</f>
        <v>45918</v>
      </c>
      <c r="G42" s="10" t="n">
        <f aca="false">B42+ROUND(INDEX(ModeLT,MATCH(D42,ModeName,0)),0)+Settings!$B$18</f>
        <v>45919</v>
      </c>
      <c r="H42" s="2" t="n">
        <f aca="false">IF(F42&lt;=G42,1,0)</f>
        <v>1</v>
      </c>
      <c r="I42" s="2" t="n">
        <f aca="true">ROUND(_xlfn.LOGNORM.INV(RAND(),5.3,0.6),0)</f>
        <v>132</v>
      </c>
    </row>
    <row r="43" customFormat="false" ht="15" hidden="false" customHeight="false" outlineLevel="0" collapsed="false">
      <c r="A43" s="2" t="str">
        <f aca="false">"ORD-"&amp;TEXT(10000+ROW()-1,"00000")</f>
        <v>ORD-10042</v>
      </c>
      <c r="B43" s="10" t="n">
        <f aca="false">DATE(2025,1,1)+RANDBETWEEN(0,364)</f>
        <v>45682</v>
      </c>
      <c r="C43" s="2" t="str">
        <f aca="true">INDEX(RegName,MATCH(RAND(),RegCum,1))</f>
        <v>Asia-Pacific</v>
      </c>
      <c r="D43" s="2" t="str">
        <f aca="true">INDEX(ModeName,MATCH(RAND(),ModeCum,1))</f>
        <v>Air</v>
      </c>
      <c r="E43" s="2" t="n">
        <f aca="true">MAX(1,ROUND(_xlfn.NORM.INV(RAND(),INDEX(ModeLT,MATCH(D43,ModeName,0)),Settings!$B$16),0))+IF(C43="Africa",Settings!$B$17,0)</f>
        <v>8</v>
      </c>
      <c r="F43" s="10" t="n">
        <f aca="false">B43+E43</f>
        <v>45690</v>
      </c>
      <c r="G43" s="10" t="n">
        <f aca="false">B43+ROUND(INDEX(ModeLT,MATCH(D43,ModeName,0)),0)+Settings!$B$18</f>
        <v>45689</v>
      </c>
      <c r="H43" s="2" t="n">
        <f aca="false">IF(F43&lt;=G43,1,0)</f>
        <v>0</v>
      </c>
      <c r="I43" s="2" t="n">
        <f aca="true">ROUND(_xlfn.LOGNORM.INV(RAND(),5.3,0.6),0)</f>
        <v>167</v>
      </c>
    </row>
    <row r="44" customFormat="false" ht="15" hidden="false" customHeight="false" outlineLevel="0" collapsed="false">
      <c r="A44" s="2" t="str">
        <f aca="false">"ORD-"&amp;TEXT(10000+ROW()-1,"00000")</f>
        <v>ORD-10043</v>
      </c>
      <c r="B44" s="10" t="n">
        <f aca="false">DATE(2025,1,1)+RANDBETWEEN(0,364)</f>
        <v>45781</v>
      </c>
      <c r="C44" s="2" t="str">
        <f aca="true">INDEX(RegName,MATCH(RAND(),RegCum,1))</f>
        <v>Americas</v>
      </c>
      <c r="D44" s="2" t="str">
        <f aca="true">INDEX(ModeName,MATCH(RAND(),ModeCum,1))</f>
        <v>Road</v>
      </c>
      <c r="E44" s="2" t="n">
        <f aca="true">MAX(1,ROUND(_xlfn.NORM.INV(RAND(),INDEX(ModeLT,MATCH(D44,ModeName,0)),Settings!$B$16),0))+IF(C44="Africa",Settings!$B$17,0)</f>
        <v>9</v>
      </c>
      <c r="F44" s="10" t="n">
        <f aca="false">B44+E44</f>
        <v>45790</v>
      </c>
      <c r="G44" s="10" t="n">
        <f aca="false">B44+ROUND(INDEX(ModeLT,MATCH(D44,ModeName,0)),0)+Settings!$B$18</f>
        <v>45790</v>
      </c>
      <c r="H44" s="2" t="n">
        <f aca="false">IF(F44&lt;=G44,1,0)</f>
        <v>1</v>
      </c>
      <c r="I44" s="2" t="n">
        <f aca="true">ROUND(_xlfn.LOGNORM.INV(RAND(),5.3,0.6),0)</f>
        <v>196</v>
      </c>
    </row>
    <row r="45" customFormat="false" ht="15" hidden="false" customHeight="false" outlineLevel="0" collapsed="false">
      <c r="A45" s="2" t="str">
        <f aca="false">"ORD-"&amp;TEXT(10000+ROW()-1,"00000")</f>
        <v>ORD-10044</v>
      </c>
      <c r="B45" s="10" t="n">
        <f aca="false">DATE(2025,1,1)+RANDBETWEEN(0,364)</f>
        <v>45953</v>
      </c>
      <c r="C45" s="2" t="str">
        <f aca="true">INDEX(RegName,MATCH(RAND(),RegCum,1))</f>
        <v>Africa</v>
      </c>
      <c r="D45" s="2" t="str">
        <f aca="true">INDEX(ModeName,MATCH(RAND(),ModeCum,1))</f>
        <v>Road</v>
      </c>
      <c r="E45" s="2" t="n">
        <f aca="true">MAX(1,ROUND(_xlfn.NORM.INV(RAND(),INDEX(ModeLT,MATCH(D45,ModeName,0)),Settings!$B$16),0))+IF(C45="Africa",Settings!$B$17,0)</f>
        <v>7</v>
      </c>
      <c r="F45" s="10" t="n">
        <f aca="false">B45+E45</f>
        <v>45960</v>
      </c>
      <c r="G45" s="10" t="n">
        <f aca="false">B45+ROUND(INDEX(ModeLT,MATCH(D45,ModeName,0)),0)+Settings!$B$18</f>
        <v>45962</v>
      </c>
      <c r="H45" s="2" t="n">
        <f aca="false">IF(F45&lt;=G45,1,0)</f>
        <v>1</v>
      </c>
      <c r="I45" s="2" t="n">
        <f aca="true">ROUND(_xlfn.LOGNORM.INV(RAND(),5.3,0.6),0)</f>
        <v>84</v>
      </c>
    </row>
    <row r="46" customFormat="false" ht="15" hidden="false" customHeight="false" outlineLevel="0" collapsed="false">
      <c r="A46" s="2" t="str">
        <f aca="false">"ORD-"&amp;TEXT(10000+ROW()-1,"00000")</f>
        <v>ORD-10045</v>
      </c>
      <c r="B46" s="10" t="n">
        <f aca="false">DATE(2025,1,1)+RANDBETWEEN(0,364)</f>
        <v>45713</v>
      </c>
      <c r="C46" s="2" t="str">
        <f aca="true">INDEX(RegName,MATCH(RAND(),RegCum,1))</f>
        <v>Asia-Pacific</v>
      </c>
      <c r="D46" s="2" t="str">
        <f aca="true">INDEX(ModeName,MATCH(RAND(),ModeCum,1))</f>
        <v>Road</v>
      </c>
      <c r="E46" s="2" t="n">
        <f aca="true">MAX(1,ROUND(_xlfn.NORM.INV(RAND(),INDEX(ModeLT,MATCH(D46,ModeName,0)),Settings!$B$16),0))+IF(C46="Africa",Settings!$B$17,0)</f>
        <v>7</v>
      </c>
      <c r="F46" s="10" t="n">
        <f aca="false">B46+E46</f>
        <v>45720</v>
      </c>
      <c r="G46" s="10" t="n">
        <f aca="false">B46+ROUND(INDEX(ModeLT,MATCH(D46,ModeName,0)),0)+Settings!$B$18</f>
        <v>45722</v>
      </c>
      <c r="H46" s="2" t="n">
        <f aca="false">IF(F46&lt;=G46,1,0)</f>
        <v>1</v>
      </c>
      <c r="I46" s="2" t="n">
        <f aca="true">ROUND(_xlfn.LOGNORM.INV(RAND(),5.3,0.6),0)</f>
        <v>129</v>
      </c>
    </row>
    <row r="47" customFormat="false" ht="15" hidden="false" customHeight="false" outlineLevel="0" collapsed="false">
      <c r="A47" s="2" t="str">
        <f aca="false">"ORD-"&amp;TEXT(10000+ROW()-1,"00000")</f>
        <v>ORD-10046</v>
      </c>
      <c r="B47" s="10" t="n">
        <f aca="false">DATE(2025,1,1)+RANDBETWEEN(0,364)</f>
        <v>45791</v>
      </c>
      <c r="C47" s="2" t="str">
        <f aca="true">INDEX(RegName,MATCH(RAND(),RegCum,1))</f>
        <v>Asia-Pacific</v>
      </c>
      <c r="D47" s="2" t="str">
        <f aca="true">INDEX(ModeName,MATCH(RAND(),ModeCum,1))</f>
        <v>Rail</v>
      </c>
      <c r="E47" s="2" t="n">
        <f aca="true">MAX(1,ROUND(_xlfn.NORM.INV(RAND(),INDEX(ModeLT,MATCH(D47,ModeName,0)),Settings!$B$16),0))+IF(C47="Africa",Settings!$B$17,0)</f>
        <v>13</v>
      </c>
      <c r="F47" s="10" t="n">
        <f aca="false">B47+E47</f>
        <v>45804</v>
      </c>
      <c r="G47" s="10" t="n">
        <f aca="false">B47+ROUND(INDEX(ModeLT,MATCH(D47,ModeName,0)),0)+Settings!$B$18</f>
        <v>45804</v>
      </c>
      <c r="H47" s="2" t="n">
        <f aca="false">IF(F47&lt;=G47,1,0)</f>
        <v>1</v>
      </c>
      <c r="I47" s="2" t="n">
        <f aca="true">ROUND(_xlfn.LOGNORM.INV(RAND(),5.3,0.6),0)</f>
        <v>347</v>
      </c>
    </row>
    <row r="48" customFormat="false" ht="15" hidden="false" customHeight="false" outlineLevel="0" collapsed="false">
      <c r="A48" s="2" t="str">
        <f aca="false">"ORD-"&amp;TEXT(10000+ROW()-1,"00000")</f>
        <v>ORD-10047</v>
      </c>
      <c r="B48" s="10" t="n">
        <f aca="false">DATE(2025,1,1)+RANDBETWEEN(0,364)</f>
        <v>45675</v>
      </c>
      <c r="C48" s="2" t="str">
        <f aca="true">INDEX(RegName,MATCH(RAND(),RegCum,1))</f>
        <v>Asia-Pacific</v>
      </c>
      <c r="D48" s="2" t="str">
        <f aca="true">INDEX(ModeName,MATCH(RAND(),ModeCum,1))</f>
        <v>Rail</v>
      </c>
      <c r="E48" s="2" t="n">
        <f aca="true">MAX(1,ROUND(_xlfn.NORM.INV(RAND(),INDEX(ModeLT,MATCH(D48,ModeName,0)),Settings!$B$16),0))+IF(C48="Africa",Settings!$B$17,0)</f>
        <v>10</v>
      </c>
      <c r="F48" s="10" t="n">
        <f aca="false">B48+E48</f>
        <v>45685</v>
      </c>
      <c r="G48" s="10" t="n">
        <f aca="false">B48+ROUND(INDEX(ModeLT,MATCH(D48,ModeName,0)),0)+Settings!$B$18</f>
        <v>45688</v>
      </c>
      <c r="H48" s="2" t="n">
        <f aca="false">IF(F48&lt;=G48,1,0)</f>
        <v>1</v>
      </c>
      <c r="I48" s="2" t="n">
        <f aca="true">ROUND(_xlfn.LOGNORM.INV(RAND(),5.3,0.6),0)</f>
        <v>281</v>
      </c>
    </row>
    <row r="49" customFormat="false" ht="15" hidden="false" customHeight="false" outlineLevel="0" collapsed="false">
      <c r="A49" s="2" t="str">
        <f aca="false">"ORD-"&amp;TEXT(10000+ROW()-1,"00000")</f>
        <v>ORD-10048</v>
      </c>
      <c r="B49" s="10" t="n">
        <f aca="false">DATE(2025,1,1)+RANDBETWEEN(0,364)</f>
        <v>45813</v>
      </c>
      <c r="C49" s="2" t="str">
        <f aca="true">INDEX(RegName,MATCH(RAND(),RegCum,1))</f>
        <v>Americas</v>
      </c>
      <c r="D49" s="2" t="str">
        <f aca="true">INDEX(ModeName,MATCH(RAND(),ModeCum,1))</f>
        <v>Road</v>
      </c>
      <c r="E49" s="2" t="n">
        <f aca="true">MAX(1,ROUND(_xlfn.NORM.INV(RAND(),INDEX(ModeLT,MATCH(D49,ModeName,0)),Settings!$B$16),0))+IF(C49="Africa",Settings!$B$17,0)</f>
        <v>6</v>
      </c>
      <c r="F49" s="10" t="n">
        <f aca="false">B49+E49</f>
        <v>45819</v>
      </c>
      <c r="G49" s="10" t="n">
        <f aca="false">B49+ROUND(INDEX(ModeLT,MATCH(D49,ModeName,0)),0)+Settings!$B$18</f>
        <v>45822</v>
      </c>
      <c r="H49" s="2" t="n">
        <f aca="false">IF(F49&lt;=G49,1,0)</f>
        <v>1</v>
      </c>
      <c r="I49" s="2" t="n">
        <f aca="true">ROUND(_xlfn.LOGNORM.INV(RAND(),5.3,0.6),0)</f>
        <v>201</v>
      </c>
    </row>
    <row r="50" customFormat="false" ht="15" hidden="false" customHeight="false" outlineLevel="0" collapsed="false">
      <c r="A50" s="2" t="str">
        <f aca="false">"ORD-"&amp;TEXT(10000+ROW()-1,"00000")</f>
        <v>ORD-10049</v>
      </c>
      <c r="B50" s="10" t="n">
        <f aca="false">DATE(2025,1,1)+RANDBETWEEN(0,364)</f>
        <v>45698</v>
      </c>
      <c r="C50" s="2" t="str">
        <f aca="true">INDEX(RegName,MATCH(RAND(),RegCum,1))</f>
        <v>Middle East</v>
      </c>
      <c r="D50" s="2" t="str">
        <f aca="true">INDEX(ModeName,MATCH(RAND(),ModeCum,1))</f>
        <v>Air</v>
      </c>
      <c r="E50" s="2" t="n">
        <f aca="true">MAX(1,ROUND(_xlfn.NORM.INV(RAND(),INDEX(ModeLT,MATCH(D50,ModeName,0)),Settings!$B$16),0))+IF(C50="Africa",Settings!$B$17,0)</f>
        <v>5</v>
      </c>
      <c r="F50" s="10" t="n">
        <f aca="false">B50+E50</f>
        <v>45703</v>
      </c>
      <c r="G50" s="10" t="n">
        <f aca="false">B50+ROUND(INDEX(ModeLT,MATCH(D50,ModeName,0)),0)+Settings!$B$18</f>
        <v>45705</v>
      </c>
      <c r="H50" s="2" t="n">
        <f aca="false">IF(F50&lt;=G50,1,0)</f>
        <v>1</v>
      </c>
      <c r="I50" s="2" t="n">
        <f aca="true">ROUND(_xlfn.LOGNORM.INV(RAND(),5.3,0.6),0)</f>
        <v>315</v>
      </c>
    </row>
    <row r="51" customFormat="false" ht="15" hidden="false" customHeight="false" outlineLevel="0" collapsed="false">
      <c r="A51" s="2" t="str">
        <f aca="false">"ORD-"&amp;TEXT(10000+ROW()-1,"00000")</f>
        <v>ORD-10050</v>
      </c>
      <c r="B51" s="10" t="n">
        <f aca="false">DATE(2025,1,1)+RANDBETWEEN(0,364)</f>
        <v>45838</v>
      </c>
      <c r="C51" s="2" t="str">
        <f aca="true">INDEX(RegName,MATCH(RAND(),RegCum,1))</f>
        <v>Americas</v>
      </c>
      <c r="D51" s="2" t="str">
        <f aca="true">INDEX(ModeName,MATCH(RAND(),ModeCum,1))</f>
        <v>Road</v>
      </c>
      <c r="E51" s="2" t="n">
        <f aca="true">MAX(1,ROUND(_xlfn.NORM.INV(RAND(),INDEX(ModeLT,MATCH(D51,ModeName,0)),Settings!$B$16),0))+IF(C51="Africa",Settings!$B$17,0)</f>
        <v>6</v>
      </c>
      <c r="F51" s="10" t="n">
        <f aca="false">B51+E51</f>
        <v>45844</v>
      </c>
      <c r="G51" s="10" t="n">
        <f aca="false">B51+ROUND(INDEX(ModeLT,MATCH(D51,ModeName,0)),0)+Settings!$B$18</f>
        <v>45847</v>
      </c>
      <c r="H51" s="2" t="n">
        <f aca="false">IF(F51&lt;=G51,1,0)</f>
        <v>1</v>
      </c>
      <c r="I51" s="2" t="n">
        <f aca="true">ROUND(_xlfn.LOGNORM.INV(RAND(),5.3,0.6),0)</f>
        <v>151</v>
      </c>
    </row>
    <row r="52" customFormat="false" ht="15" hidden="false" customHeight="false" outlineLevel="0" collapsed="false">
      <c r="A52" s="2" t="str">
        <f aca="false">"ORD-"&amp;TEXT(10000+ROW()-1,"00000")</f>
        <v>ORD-10051</v>
      </c>
      <c r="B52" s="10" t="n">
        <f aca="false">DATE(2025,1,1)+RANDBETWEEN(0,364)</f>
        <v>45986</v>
      </c>
      <c r="C52" s="2" t="str">
        <f aca="true">INDEX(RegName,MATCH(RAND(),RegCum,1))</f>
        <v>Europe</v>
      </c>
      <c r="D52" s="2" t="str">
        <f aca="true">INDEX(ModeName,MATCH(RAND(),ModeCum,1))</f>
        <v>Sea</v>
      </c>
      <c r="E52" s="2" t="n">
        <f aca="true">MAX(1,ROUND(_xlfn.NORM.INV(RAND(),INDEX(ModeLT,MATCH(D52,ModeName,0)),Settings!$B$16),0))+IF(C52="Africa",Settings!$B$17,0)</f>
        <v>20</v>
      </c>
      <c r="F52" s="10" t="n">
        <f aca="false">B52+E52</f>
        <v>46006</v>
      </c>
      <c r="G52" s="10" t="n">
        <f aca="false">B52+ROUND(INDEX(ModeLT,MATCH(D52,ModeName,0)),0)+Settings!$B$18</f>
        <v>46009</v>
      </c>
      <c r="H52" s="2" t="n">
        <f aca="false">IF(F52&lt;=G52,1,0)</f>
        <v>1</v>
      </c>
      <c r="I52" s="2" t="n">
        <f aca="true">ROUND(_xlfn.LOGNORM.INV(RAND(),5.3,0.6),0)</f>
        <v>421</v>
      </c>
    </row>
    <row r="53" customFormat="false" ht="15" hidden="false" customHeight="false" outlineLevel="0" collapsed="false">
      <c r="A53" s="2" t="str">
        <f aca="false">"ORD-"&amp;TEXT(10000+ROW()-1,"00000")</f>
        <v>ORD-10052</v>
      </c>
      <c r="B53" s="10" t="n">
        <f aca="false">DATE(2025,1,1)+RANDBETWEEN(0,364)</f>
        <v>45758</v>
      </c>
      <c r="C53" s="2" t="str">
        <f aca="true">INDEX(RegName,MATCH(RAND(),RegCum,1))</f>
        <v>Asia-Pacific</v>
      </c>
      <c r="D53" s="2" t="str">
        <f aca="true">INDEX(ModeName,MATCH(RAND(),ModeCum,1))</f>
        <v>Rail</v>
      </c>
      <c r="E53" s="2" t="n">
        <f aca="true">MAX(1,ROUND(_xlfn.NORM.INV(RAND(),INDEX(ModeLT,MATCH(D53,ModeName,0)),Settings!$B$16),0))+IF(C53="Africa",Settings!$B$17,0)</f>
        <v>9</v>
      </c>
      <c r="F53" s="10" t="n">
        <f aca="false">B53+E53</f>
        <v>45767</v>
      </c>
      <c r="G53" s="10" t="n">
        <f aca="false">B53+ROUND(INDEX(ModeLT,MATCH(D53,ModeName,0)),0)+Settings!$B$18</f>
        <v>45771</v>
      </c>
      <c r="H53" s="2" t="n">
        <f aca="false">IF(F53&lt;=G53,1,0)</f>
        <v>1</v>
      </c>
      <c r="I53" s="2" t="n">
        <f aca="true">ROUND(_xlfn.LOGNORM.INV(RAND(),5.3,0.6),0)</f>
        <v>166</v>
      </c>
    </row>
    <row r="54" customFormat="false" ht="15" hidden="false" customHeight="false" outlineLevel="0" collapsed="false">
      <c r="A54" s="2" t="str">
        <f aca="false">"ORD-"&amp;TEXT(10000+ROW()-1,"00000")</f>
        <v>ORD-10053</v>
      </c>
      <c r="B54" s="10" t="n">
        <f aca="false">DATE(2025,1,1)+RANDBETWEEN(0,364)</f>
        <v>45679</v>
      </c>
      <c r="C54" s="2" t="str">
        <f aca="true">INDEX(RegName,MATCH(RAND(),RegCum,1))</f>
        <v>Asia-Pacific</v>
      </c>
      <c r="D54" s="2" t="str">
        <f aca="true">INDEX(ModeName,MATCH(RAND(),ModeCum,1))</f>
        <v>Sea</v>
      </c>
      <c r="E54" s="2" t="n">
        <f aca="true">MAX(1,ROUND(_xlfn.NORM.INV(RAND(),INDEX(ModeLT,MATCH(D54,ModeName,0)),Settings!$B$16),0))+IF(C54="Africa",Settings!$B$17,0)</f>
        <v>19</v>
      </c>
      <c r="F54" s="10" t="n">
        <f aca="false">B54+E54</f>
        <v>45698</v>
      </c>
      <c r="G54" s="10" t="n">
        <f aca="false">B54+ROUND(INDEX(ModeLT,MATCH(D54,ModeName,0)),0)+Settings!$B$18</f>
        <v>45702</v>
      </c>
      <c r="H54" s="2" t="n">
        <f aca="false">IF(F54&lt;=G54,1,0)</f>
        <v>1</v>
      </c>
      <c r="I54" s="2" t="n">
        <f aca="true">ROUND(_xlfn.LOGNORM.INV(RAND(),5.3,0.6),0)</f>
        <v>124</v>
      </c>
    </row>
    <row r="55" customFormat="false" ht="15" hidden="false" customHeight="false" outlineLevel="0" collapsed="false">
      <c r="A55" s="2" t="str">
        <f aca="false">"ORD-"&amp;TEXT(10000+ROW()-1,"00000")</f>
        <v>ORD-10054</v>
      </c>
      <c r="B55" s="10" t="n">
        <f aca="false">DATE(2025,1,1)+RANDBETWEEN(0,364)</f>
        <v>45806</v>
      </c>
      <c r="C55" s="2" t="str">
        <f aca="true">INDEX(RegName,MATCH(RAND(),RegCum,1))</f>
        <v>Americas</v>
      </c>
      <c r="D55" s="2" t="str">
        <f aca="true">INDEX(ModeName,MATCH(RAND(),ModeCum,1))</f>
        <v>Road</v>
      </c>
      <c r="E55" s="2" t="n">
        <f aca="true">MAX(1,ROUND(_xlfn.NORM.INV(RAND(),INDEX(ModeLT,MATCH(D55,ModeName,0)),Settings!$B$16),0))+IF(C55="Africa",Settings!$B$17,0)</f>
        <v>5</v>
      </c>
      <c r="F55" s="10" t="n">
        <f aca="false">B55+E55</f>
        <v>45811</v>
      </c>
      <c r="G55" s="10" t="n">
        <f aca="false">B55+ROUND(INDEX(ModeLT,MATCH(D55,ModeName,0)),0)+Settings!$B$18</f>
        <v>45815</v>
      </c>
      <c r="H55" s="2" t="n">
        <f aca="false">IF(F55&lt;=G55,1,0)</f>
        <v>1</v>
      </c>
      <c r="I55" s="2" t="n">
        <f aca="true">ROUND(_xlfn.LOGNORM.INV(RAND(),5.3,0.6),0)</f>
        <v>115</v>
      </c>
    </row>
    <row r="56" customFormat="false" ht="15" hidden="false" customHeight="false" outlineLevel="0" collapsed="false">
      <c r="A56" s="2" t="str">
        <f aca="false">"ORD-"&amp;TEXT(10000+ROW()-1,"00000")</f>
        <v>ORD-10055</v>
      </c>
      <c r="B56" s="10" t="n">
        <f aca="false">DATE(2025,1,1)+RANDBETWEEN(0,364)</f>
        <v>45842</v>
      </c>
      <c r="C56" s="2" t="str">
        <f aca="true">INDEX(RegName,MATCH(RAND(),RegCum,1))</f>
        <v>Asia-Pacific</v>
      </c>
      <c r="D56" s="2" t="str">
        <f aca="true">INDEX(ModeName,MATCH(RAND(),ModeCum,1))</f>
        <v>Road</v>
      </c>
      <c r="E56" s="2" t="n">
        <f aca="true">MAX(1,ROUND(_xlfn.NORM.INV(RAND(),INDEX(ModeLT,MATCH(D56,ModeName,0)),Settings!$B$16),0))+IF(C56="Africa",Settings!$B$17,0)</f>
        <v>7</v>
      </c>
      <c r="F56" s="10" t="n">
        <f aca="false">B56+E56</f>
        <v>45849</v>
      </c>
      <c r="G56" s="10" t="n">
        <f aca="false">B56+ROUND(INDEX(ModeLT,MATCH(D56,ModeName,0)),0)+Settings!$B$18</f>
        <v>45851</v>
      </c>
      <c r="H56" s="2" t="n">
        <f aca="false">IF(F56&lt;=G56,1,0)</f>
        <v>1</v>
      </c>
      <c r="I56" s="2" t="n">
        <f aca="true">ROUND(_xlfn.LOGNORM.INV(RAND(),5.3,0.6),0)</f>
        <v>69</v>
      </c>
    </row>
    <row r="57" customFormat="false" ht="15" hidden="false" customHeight="false" outlineLevel="0" collapsed="false">
      <c r="A57" s="2" t="str">
        <f aca="false">"ORD-"&amp;TEXT(10000+ROW()-1,"00000")</f>
        <v>ORD-10056</v>
      </c>
      <c r="B57" s="10" t="n">
        <f aca="false">DATE(2025,1,1)+RANDBETWEEN(0,364)</f>
        <v>45940</v>
      </c>
      <c r="C57" s="2" t="str">
        <f aca="true">INDEX(RegName,MATCH(RAND(),RegCum,1))</f>
        <v>Asia-Pacific</v>
      </c>
      <c r="D57" s="2" t="str">
        <f aca="true">INDEX(ModeName,MATCH(RAND(),ModeCum,1))</f>
        <v>Sea</v>
      </c>
      <c r="E57" s="2" t="n">
        <f aca="true">MAX(1,ROUND(_xlfn.NORM.INV(RAND(),INDEX(ModeLT,MATCH(D57,ModeName,0)),Settings!$B$16),0))+IF(C57="Africa",Settings!$B$17,0)</f>
        <v>21</v>
      </c>
      <c r="F57" s="10" t="n">
        <f aca="false">B57+E57</f>
        <v>45961</v>
      </c>
      <c r="G57" s="10" t="n">
        <f aca="false">B57+ROUND(INDEX(ModeLT,MATCH(D57,ModeName,0)),0)+Settings!$B$18</f>
        <v>45963</v>
      </c>
      <c r="H57" s="2" t="n">
        <f aca="false">IF(F57&lt;=G57,1,0)</f>
        <v>1</v>
      </c>
      <c r="I57" s="2" t="n">
        <f aca="true">ROUND(_xlfn.LOGNORM.INV(RAND(),5.3,0.6),0)</f>
        <v>169</v>
      </c>
    </row>
    <row r="58" customFormat="false" ht="15" hidden="false" customHeight="false" outlineLevel="0" collapsed="false">
      <c r="A58" s="2" t="str">
        <f aca="false">"ORD-"&amp;TEXT(10000+ROW()-1,"00000")</f>
        <v>ORD-10057</v>
      </c>
      <c r="B58" s="10" t="n">
        <f aca="false">DATE(2025,1,1)+RANDBETWEEN(0,364)</f>
        <v>45704</v>
      </c>
      <c r="C58" s="2" t="str">
        <f aca="true">INDEX(RegName,MATCH(RAND(),RegCum,1))</f>
        <v>Europe</v>
      </c>
      <c r="D58" s="2" t="str">
        <f aca="true">INDEX(ModeName,MATCH(RAND(),ModeCum,1))</f>
        <v>Sea</v>
      </c>
      <c r="E58" s="2" t="n">
        <f aca="true">MAX(1,ROUND(_xlfn.NORM.INV(RAND(),INDEX(ModeLT,MATCH(D58,ModeName,0)),Settings!$B$16),0))+IF(C58="Africa",Settings!$B$17,0)</f>
        <v>21</v>
      </c>
      <c r="F58" s="10" t="n">
        <f aca="false">B58+E58</f>
        <v>45725</v>
      </c>
      <c r="G58" s="10" t="n">
        <f aca="false">B58+ROUND(INDEX(ModeLT,MATCH(D58,ModeName,0)),0)+Settings!$B$18</f>
        <v>45727</v>
      </c>
      <c r="H58" s="2" t="n">
        <f aca="false">IF(F58&lt;=G58,1,0)</f>
        <v>1</v>
      </c>
      <c r="I58" s="2" t="n">
        <f aca="true">ROUND(_xlfn.LOGNORM.INV(RAND(),5.3,0.6),0)</f>
        <v>203</v>
      </c>
    </row>
    <row r="59" customFormat="false" ht="15" hidden="false" customHeight="false" outlineLevel="0" collapsed="false">
      <c r="A59" s="2" t="str">
        <f aca="false">"ORD-"&amp;TEXT(10000+ROW()-1,"00000")</f>
        <v>ORD-10058</v>
      </c>
      <c r="B59" s="10" t="n">
        <f aca="false">DATE(2025,1,1)+RANDBETWEEN(0,364)</f>
        <v>45828</v>
      </c>
      <c r="C59" s="2" t="str">
        <f aca="true">INDEX(RegName,MATCH(RAND(),RegCum,1))</f>
        <v>Africa</v>
      </c>
      <c r="D59" s="2" t="str">
        <f aca="true">INDEX(ModeName,MATCH(RAND(),ModeCum,1))</f>
        <v>Sea</v>
      </c>
      <c r="E59" s="2" t="n">
        <f aca="true">MAX(1,ROUND(_xlfn.NORM.INV(RAND(),INDEX(ModeLT,MATCH(D59,ModeName,0)),Settings!$B$16),0))+IF(C59="Africa",Settings!$B$17,0)</f>
        <v>21</v>
      </c>
      <c r="F59" s="10" t="n">
        <f aca="false">B59+E59</f>
        <v>45849</v>
      </c>
      <c r="G59" s="10" t="n">
        <f aca="false">B59+ROUND(INDEX(ModeLT,MATCH(D59,ModeName,0)),0)+Settings!$B$18</f>
        <v>45851</v>
      </c>
      <c r="H59" s="2" t="n">
        <f aca="false">IF(F59&lt;=G59,1,0)</f>
        <v>1</v>
      </c>
      <c r="I59" s="2" t="n">
        <f aca="true">ROUND(_xlfn.LOGNORM.INV(RAND(),5.3,0.6),0)</f>
        <v>164</v>
      </c>
    </row>
    <row r="60" customFormat="false" ht="15" hidden="false" customHeight="false" outlineLevel="0" collapsed="false">
      <c r="A60" s="2" t="str">
        <f aca="false">"ORD-"&amp;TEXT(10000+ROW()-1,"00000")</f>
        <v>ORD-10059</v>
      </c>
      <c r="B60" s="10" t="n">
        <f aca="false">DATE(2025,1,1)+RANDBETWEEN(0,364)</f>
        <v>45666</v>
      </c>
      <c r="C60" s="2" t="str">
        <f aca="true">INDEX(RegName,MATCH(RAND(),RegCum,1))</f>
        <v>Europe</v>
      </c>
      <c r="D60" s="2" t="str">
        <f aca="true">INDEX(ModeName,MATCH(RAND(),ModeCum,1))</f>
        <v>Road</v>
      </c>
      <c r="E60" s="2" t="n">
        <f aca="true">MAX(1,ROUND(_xlfn.NORM.INV(RAND(),INDEX(ModeLT,MATCH(D60,ModeName,0)),Settings!$B$16),0))+IF(C60="Africa",Settings!$B$17,0)</f>
        <v>5</v>
      </c>
      <c r="F60" s="10" t="n">
        <f aca="false">B60+E60</f>
        <v>45671</v>
      </c>
      <c r="G60" s="10" t="n">
        <f aca="false">B60+ROUND(INDEX(ModeLT,MATCH(D60,ModeName,0)),0)+Settings!$B$18</f>
        <v>45675</v>
      </c>
      <c r="H60" s="2" t="n">
        <f aca="false">IF(F60&lt;=G60,1,0)</f>
        <v>1</v>
      </c>
      <c r="I60" s="2" t="n">
        <f aca="true">ROUND(_xlfn.LOGNORM.INV(RAND(),5.3,0.6),0)</f>
        <v>207</v>
      </c>
    </row>
    <row r="61" customFormat="false" ht="15" hidden="false" customHeight="false" outlineLevel="0" collapsed="false">
      <c r="A61" s="2" t="str">
        <f aca="false">"ORD-"&amp;TEXT(10000+ROW()-1,"00000")</f>
        <v>ORD-10060</v>
      </c>
      <c r="B61" s="10" t="n">
        <f aca="false">DATE(2025,1,1)+RANDBETWEEN(0,364)</f>
        <v>45995</v>
      </c>
      <c r="C61" s="2" t="str">
        <f aca="true">INDEX(RegName,MATCH(RAND(),RegCum,1))</f>
        <v>Middle East</v>
      </c>
      <c r="D61" s="2" t="str">
        <f aca="true">INDEX(ModeName,MATCH(RAND(),ModeCum,1))</f>
        <v>Air</v>
      </c>
      <c r="E61" s="2" t="n">
        <f aca="true">MAX(1,ROUND(_xlfn.NORM.INV(RAND(),INDEX(ModeLT,MATCH(D61,ModeName,0)),Settings!$B$16),0))+IF(C61="Africa",Settings!$B$17,0)</f>
        <v>4</v>
      </c>
      <c r="F61" s="10" t="n">
        <f aca="false">B61+E61</f>
        <v>45999</v>
      </c>
      <c r="G61" s="10" t="n">
        <f aca="false">B61+ROUND(INDEX(ModeLT,MATCH(D61,ModeName,0)),0)+Settings!$B$18</f>
        <v>46002</v>
      </c>
      <c r="H61" s="2" t="n">
        <f aca="false">IF(F61&lt;=G61,1,0)</f>
        <v>1</v>
      </c>
      <c r="I61" s="2" t="n">
        <f aca="true">ROUND(_xlfn.LOGNORM.INV(RAND(),5.3,0.6),0)</f>
        <v>101</v>
      </c>
    </row>
    <row r="62" customFormat="false" ht="15" hidden="false" customHeight="false" outlineLevel="0" collapsed="false">
      <c r="A62" s="2" t="str">
        <f aca="false">"ORD-"&amp;TEXT(10000+ROW()-1,"00000")</f>
        <v>ORD-10061</v>
      </c>
      <c r="B62" s="10" t="n">
        <f aca="false">DATE(2025,1,1)+RANDBETWEEN(0,364)</f>
        <v>45924</v>
      </c>
      <c r="C62" s="2" t="str">
        <f aca="true">INDEX(RegName,MATCH(RAND(),RegCum,1))</f>
        <v>Americas</v>
      </c>
      <c r="D62" s="2" t="str">
        <f aca="true">INDEX(ModeName,MATCH(RAND(),ModeCum,1))</f>
        <v>Sea</v>
      </c>
      <c r="E62" s="2" t="n">
        <f aca="true">MAX(1,ROUND(_xlfn.NORM.INV(RAND(),INDEX(ModeLT,MATCH(D62,ModeName,0)),Settings!$B$16),0))+IF(C62="Africa",Settings!$B$17,0)</f>
        <v>18</v>
      </c>
      <c r="F62" s="10" t="n">
        <f aca="false">B62+E62</f>
        <v>45942</v>
      </c>
      <c r="G62" s="10" t="n">
        <f aca="false">B62+ROUND(INDEX(ModeLT,MATCH(D62,ModeName,0)),0)+Settings!$B$18</f>
        <v>45947</v>
      </c>
      <c r="H62" s="2" t="n">
        <f aca="false">IF(F62&lt;=G62,1,0)</f>
        <v>1</v>
      </c>
      <c r="I62" s="2" t="n">
        <f aca="true">ROUND(_xlfn.LOGNORM.INV(RAND(),5.3,0.6),0)</f>
        <v>359</v>
      </c>
    </row>
    <row r="63" customFormat="false" ht="15" hidden="false" customHeight="false" outlineLevel="0" collapsed="false">
      <c r="A63" s="2" t="str">
        <f aca="false">"ORD-"&amp;TEXT(10000+ROW()-1,"00000")</f>
        <v>ORD-10062</v>
      </c>
      <c r="B63" s="10" t="n">
        <f aca="false">DATE(2025,1,1)+RANDBETWEEN(0,364)</f>
        <v>45745</v>
      </c>
      <c r="C63" s="2" t="str">
        <f aca="true">INDEX(RegName,MATCH(RAND(),RegCum,1))</f>
        <v>Middle East</v>
      </c>
      <c r="D63" s="2" t="str">
        <f aca="true">INDEX(ModeName,MATCH(RAND(),ModeCum,1))</f>
        <v>Road</v>
      </c>
      <c r="E63" s="2" t="n">
        <f aca="true">MAX(1,ROUND(_xlfn.NORM.INV(RAND(),INDEX(ModeLT,MATCH(D63,ModeName,0)),Settings!$B$16),0))+IF(C63="Africa",Settings!$B$17,0)</f>
        <v>6</v>
      </c>
      <c r="F63" s="10" t="n">
        <f aca="false">B63+E63</f>
        <v>45751</v>
      </c>
      <c r="G63" s="10" t="n">
        <f aca="false">B63+ROUND(INDEX(ModeLT,MATCH(D63,ModeName,0)),0)+Settings!$B$18</f>
        <v>45754</v>
      </c>
      <c r="H63" s="2" t="n">
        <f aca="false">IF(F63&lt;=G63,1,0)</f>
        <v>1</v>
      </c>
      <c r="I63" s="2" t="n">
        <f aca="true">ROUND(_xlfn.LOGNORM.INV(RAND(),5.3,0.6),0)</f>
        <v>53</v>
      </c>
    </row>
    <row r="64" customFormat="false" ht="15" hidden="false" customHeight="false" outlineLevel="0" collapsed="false">
      <c r="A64" s="2" t="str">
        <f aca="false">"ORD-"&amp;TEXT(10000+ROW()-1,"00000")</f>
        <v>ORD-10063</v>
      </c>
      <c r="B64" s="10" t="n">
        <f aca="false">DATE(2025,1,1)+RANDBETWEEN(0,364)</f>
        <v>45916</v>
      </c>
      <c r="C64" s="2" t="str">
        <f aca="true">INDEX(RegName,MATCH(RAND(),RegCum,1))</f>
        <v>Asia-Pacific</v>
      </c>
      <c r="D64" s="2" t="str">
        <f aca="true">INDEX(ModeName,MATCH(RAND(),ModeCum,1))</f>
        <v>Road</v>
      </c>
      <c r="E64" s="2" t="n">
        <f aca="true">MAX(1,ROUND(_xlfn.NORM.INV(RAND(),INDEX(ModeLT,MATCH(D64,ModeName,0)),Settings!$B$16),0))+IF(C64="Africa",Settings!$B$17,0)</f>
        <v>7</v>
      </c>
      <c r="F64" s="10" t="n">
        <f aca="false">B64+E64</f>
        <v>45923</v>
      </c>
      <c r="G64" s="10" t="n">
        <f aca="false">B64+ROUND(INDEX(ModeLT,MATCH(D64,ModeName,0)),0)+Settings!$B$18</f>
        <v>45925</v>
      </c>
      <c r="H64" s="2" t="n">
        <f aca="false">IF(F64&lt;=G64,1,0)</f>
        <v>1</v>
      </c>
      <c r="I64" s="2" t="n">
        <f aca="true">ROUND(_xlfn.LOGNORM.INV(RAND(),5.3,0.6),0)</f>
        <v>89</v>
      </c>
    </row>
    <row r="65" customFormat="false" ht="15" hidden="false" customHeight="false" outlineLevel="0" collapsed="false">
      <c r="A65" s="2" t="str">
        <f aca="false">"ORD-"&amp;TEXT(10000+ROW()-1,"00000")</f>
        <v>ORD-10064</v>
      </c>
      <c r="B65" s="10" t="n">
        <f aca="false">DATE(2025,1,1)+RANDBETWEEN(0,364)</f>
        <v>45749</v>
      </c>
      <c r="C65" s="2" t="str">
        <f aca="true">INDEX(RegName,MATCH(RAND(),RegCum,1))</f>
        <v>Americas</v>
      </c>
      <c r="D65" s="2" t="str">
        <f aca="true">INDEX(ModeName,MATCH(RAND(),ModeCum,1))</f>
        <v>Rail</v>
      </c>
      <c r="E65" s="2" t="n">
        <f aca="true">MAX(1,ROUND(_xlfn.NORM.INV(RAND(),INDEX(ModeLT,MATCH(D65,ModeName,0)),Settings!$B$16),0))+IF(C65="Africa",Settings!$B$17,0)</f>
        <v>13</v>
      </c>
      <c r="F65" s="10" t="n">
        <f aca="false">B65+E65</f>
        <v>45762</v>
      </c>
      <c r="G65" s="10" t="n">
        <f aca="false">B65+ROUND(INDEX(ModeLT,MATCH(D65,ModeName,0)),0)+Settings!$B$18</f>
        <v>45762</v>
      </c>
      <c r="H65" s="2" t="n">
        <f aca="false">IF(F65&lt;=G65,1,0)</f>
        <v>1</v>
      </c>
      <c r="I65" s="2" t="n">
        <f aca="true">ROUND(_xlfn.LOGNORM.INV(RAND(),5.3,0.6),0)</f>
        <v>123</v>
      </c>
    </row>
    <row r="66" customFormat="false" ht="15" hidden="false" customHeight="false" outlineLevel="0" collapsed="false">
      <c r="A66" s="2" t="str">
        <f aca="false">"ORD-"&amp;TEXT(10000+ROW()-1,"00000")</f>
        <v>ORD-10065</v>
      </c>
      <c r="B66" s="10" t="n">
        <f aca="false">DATE(2025,1,1)+RANDBETWEEN(0,364)</f>
        <v>45886</v>
      </c>
      <c r="C66" s="2" t="str">
        <f aca="true">INDEX(RegName,MATCH(RAND(),RegCum,1))</f>
        <v>Middle East</v>
      </c>
      <c r="D66" s="2" t="str">
        <f aca="true">INDEX(ModeName,MATCH(RAND(),ModeCum,1))</f>
        <v>Road</v>
      </c>
      <c r="E66" s="2" t="n">
        <f aca="true">MAX(1,ROUND(_xlfn.NORM.INV(RAND(),INDEX(ModeLT,MATCH(D66,ModeName,0)),Settings!$B$16),0))+IF(C66="Africa",Settings!$B$17,0)</f>
        <v>5</v>
      </c>
      <c r="F66" s="10" t="n">
        <f aca="false">B66+E66</f>
        <v>45891</v>
      </c>
      <c r="G66" s="10" t="n">
        <f aca="false">B66+ROUND(INDEX(ModeLT,MATCH(D66,ModeName,0)),0)+Settings!$B$18</f>
        <v>45895</v>
      </c>
      <c r="H66" s="2" t="n">
        <f aca="false">IF(F66&lt;=G66,1,0)</f>
        <v>1</v>
      </c>
      <c r="I66" s="2" t="n">
        <f aca="true">ROUND(_xlfn.LOGNORM.INV(RAND(),5.3,0.6),0)</f>
        <v>92</v>
      </c>
    </row>
    <row r="67" customFormat="false" ht="15" hidden="false" customHeight="false" outlineLevel="0" collapsed="false">
      <c r="A67" s="2" t="str">
        <f aca="false">"ORD-"&amp;TEXT(10000+ROW()-1,"00000")</f>
        <v>ORD-10066</v>
      </c>
      <c r="B67" s="10" t="n">
        <f aca="false">DATE(2025,1,1)+RANDBETWEEN(0,364)</f>
        <v>45853</v>
      </c>
      <c r="C67" s="2" t="str">
        <f aca="true">INDEX(RegName,MATCH(RAND(),RegCum,1))</f>
        <v>Asia-Pacific</v>
      </c>
      <c r="D67" s="2" t="str">
        <f aca="true">INDEX(ModeName,MATCH(RAND(),ModeCum,1))</f>
        <v>Road</v>
      </c>
      <c r="E67" s="2" t="n">
        <f aca="true">MAX(1,ROUND(_xlfn.NORM.INV(RAND(),INDEX(ModeLT,MATCH(D67,ModeName,0)),Settings!$B$16),0))+IF(C67="Africa",Settings!$B$17,0)</f>
        <v>7</v>
      </c>
      <c r="F67" s="10" t="n">
        <f aca="false">B67+E67</f>
        <v>45860</v>
      </c>
      <c r="G67" s="10" t="n">
        <f aca="false">B67+ROUND(INDEX(ModeLT,MATCH(D67,ModeName,0)),0)+Settings!$B$18</f>
        <v>45862</v>
      </c>
      <c r="H67" s="2" t="n">
        <f aca="false">IF(F67&lt;=G67,1,0)</f>
        <v>1</v>
      </c>
      <c r="I67" s="2" t="n">
        <f aca="true">ROUND(_xlfn.LOGNORM.INV(RAND(),5.3,0.6),0)</f>
        <v>108</v>
      </c>
    </row>
    <row r="68" customFormat="false" ht="15" hidden="false" customHeight="false" outlineLevel="0" collapsed="false">
      <c r="A68" s="2" t="str">
        <f aca="false">"ORD-"&amp;TEXT(10000+ROW()-1,"00000")</f>
        <v>ORD-10067</v>
      </c>
      <c r="B68" s="10" t="n">
        <f aca="false">DATE(2025,1,1)+RANDBETWEEN(0,364)</f>
        <v>45973</v>
      </c>
      <c r="C68" s="2" t="str">
        <f aca="true">INDEX(RegName,MATCH(RAND(),RegCum,1))</f>
        <v>Europe</v>
      </c>
      <c r="D68" s="2" t="str">
        <f aca="true">INDEX(ModeName,MATCH(RAND(),ModeCum,1))</f>
        <v>Road</v>
      </c>
      <c r="E68" s="2" t="n">
        <f aca="true">MAX(1,ROUND(_xlfn.NORM.INV(RAND(),INDEX(ModeLT,MATCH(D68,ModeName,0)),Settings!$B$16),0))+IF(C68="Africa",Settings!$B$17,0)</f>
        <v>9</v>
      </c>
      <c r="F68" s="10" t="n">
        <f aca="false">B68+E68</f>
        <v>45982</v>
      </c>
      <c r="G68" s="10" t="n">
        <f aca="false">B68+ROUND(INDEX(ModeLT,MATCH(D68,ModeName,0)),0)+Settings!$B$18</f>
        <v>45982</v>
      </c>
      <c r="H68" s="2" t="n">
        <f aca="false">IF(F68&lt;=G68,1,0)</f>
        <v>1</v>
      </c>
      <c r="I68" s="2" t="n">
        <f aca="true">ROUND(_xlfn.LOGNORM.INV(RAND(),5.3,0.6),0)</f>
        <v>188</v>
      </c>
    </row>
    <row r="69" customFormat="false" ht="15" hidden="false" customHeight="false" outlineLevel="0" collapsed="false">
      <c r="A69" s="2" t="str">
        <f aca="false">"ORD-"&amp;TEXT(10000+ROW()-1,"00000")</f>
        <v>ORD-10068</v>
      </c>
      <c r="B69" s="10" t="n">
        <f aca="false">DATE(2025,1,1)+RANDBETWEEN(0,364)</f>
        <v>45895</v>
      </c>
      <c r="C69" s="2" t="str">
        <f aca="true">INDEX(RegName,MATCH(RAND(),RegCum,1))</f>
        <v>Americas</v>
      </c>
      <c r="D69" s="2" t="str">
        <f aca="true">INDEX(ModeName,MATCH(RAND(),ModeCum,1))</f>
        <v>Road</v>
      </c>
      <c r="E69" s="2" t="n">
        <f aca="true">MAX(1,ROUND(_xlfn.NORM.INV(RAND(),INDEX(ModeLT,MATCH(D69,ModeName,0)),Settings!$B$16),0))+IF(C69="Africa",Settings!$B$17,0)</f>
        <v>6</v>
      </c>
      <c r="F69" s="10" t="n">
        <f aca="false">B69+E69</f>
        <v>45901</v>
      </c>
      <c r="G69" s="10" t="n">
        <f aca="false">B69+ROUND(INDEX(ModeLT,MATCH(D69,ModeName,0)),0)+Settings!$B$18</f>
        <v>45904</v>
      </c>
      <c r="H69" s="2" t="n">
        <f aca="false">IF(F69&lt;=G69,1,0)</f>
        <v>1</v>
      </c>
      <c r="I69" s="2" t="n">
        <f aca="true">ROUND(_xlfn.LOGNORM.INV(RAND(),5.3,0.6),0)</f>
        <v>172</v>
      </c>
    </row>
    <row r="70" customFormat="false" ht="15" hidden="false" customHeight="false" outlineLevel="0" collapsed="false">
      <c r="A70" s="2" t="str">
        <f aca="false">"ORD-"&amp;TEXT(10000+ROW()-1,"00000")</f>
        <v>ORD-10069</v>
      </c>
      <c r="B70" s="10" t="n">
        <f aca="false">DATE(2025,1,1)+RANDBETWEEN(0,364)</f>
        <v>45777</v>
      </c>
      <c r="C70" s="2" t="str">
        <f aca="true">INDEX(RegName,MATCH(RAND(),RegCum,1))</f>
        <v>Europe</v>
      </c>
      <c r="D70" s="2" t="str">
        <f aca="true">INDEX(ModeName,MATCH(RAND(),ModeCum,1))</f>
        <v>Road</v>
      </c>
      <c r="E70" s="2" t="n">
        <f aca="true">MAX(1,ROUND(_xlfn.NORM.INV(RAND(),INDEX(ModeLT,MATCH(D70,ModeName,0)),Settings!$B$16),0))+IF(C70="Africa",Settings!$B$17,0)</f>
        <v>9</v>
      </c>
      <c r="F70" s="10" t="n">
        <f aca="false">B70+E70</f>
        <v>45786</v>
      </c>
      <c r="G70" s="10" t="n">
        <f aca="false">B70+ROUND(INDEX(ModeLT,MATCH(D70,ModeName,0)),0)+Settings!$B$18</f>
        <v>45786</v>
      </c>
      <c r="H70" s="2" t="n">
        <f aca="false">IF(F70&lt;=G70,1,0)</f>
        <v>1</v>
      </c>
      <c r="I70" s="2" t="n">
        <f aca="true">ROUND(_xlfn.LOGNORM.INV(RAND(),5.3,0.6),0)</f>
        <v>142</v>
      </c>
    </row>
    <row r="71" customFormat="false" ht="15" hidden="false" customHeight="false" outlineLevel="0" collapsed="false">
      <c r="A71" s="2" t="str">
        <f aca="false">"ORD-"&amp;TEXT(10000+ROW()-1,"00000")</f>
        <v>ORD-10070</v>
      </c>
      <c r="B71" s="10" t="n">
        <f aca="false">DATE(2025,1,1)+RANDBETWEEN(0,364)</f>
        <v>45806</v>
      </c>
      <c r="C71" s="2" t="str">
        <f aca="true">INDEX(RegName,MATCH(RAND(),RegCum,1))</f>
        <v>Middle East</v>
      </c>
      <c r="D71" s="2" t="str">
        <f aca="true">INDEX(ModeName,MATCH(RAND(),ModeCum,1))</f>
        <v>Sea</v>
      </c>
      <c r="E71" s="2" t="n">
        <f aca="true">MAX(1,ROUND(_xlfn.NORM.INV(RAND(),INDEX(ModeLT,MATCH(D71,ModeName,0)),Settings!$B$16),0))+IF(C71="Africa",Settings!$B$17,0)</f>
        <v>23</v>
      </c>
      <c r="F71" s="10" t="n">
        <f aca="false">B71+E71</f>
        <v>45829</v>
      </c>
      <c r="G71" s="10" t="n">
        <f aca="false">B71+ROUND(INDEX(ModeLT,MATCH(D71,ModeName,0)),0)+Settings!$B$18</f>
        <v>45829</v>
      </c>
      <c r="H71" s="2" t="n">
        <f aca="false">IF(F71&lt;=G71,1,0)</f>
        <v>1</v>
      </c>
      <c r="I71" s="2" t="n">
        <f aca="true">ROUND(_xlfn.LOGNORM.INV(RAND(),5.3,0.6),0)</f>
        <v>142</v>
      </c>
    </row>
    <row r="72" customFormat="false" ht="15" hidden="false" customHeight="false" outlineLevel="0" collapsed="false">
      <c r="A72" s="2" t="str">
        <f aca="false">"ORD-"&amp;TEXT(10000+ROW()-1,"00000")</f>
        <v>ORD-10071</v>
      </c>
      <c r="B72" s="10" t="n">
        <f aca="false">DATE(2025,1,1)+RANDBETWEEN(0,364)</f>
        <v>46005</v>
      </c>
      <c r="C72" s="2" t="str">
        <f aca="true">INDEX(RegName,MATCH(RAND(),RegCum,1))</f>
        <v>Americas</v>
      </c>
      <c r="D72" s="2" t="str">
        <f aca="true">INDEX(ModeName,MATCH(RAND(),ModeCum,1))</f>
        <v>Air</v>
      </c>
      <c r="E72" s="2" t="n">
        <f aca="true">MAX(1,ROUND(_xlfn.NORM.INV(RAND(),INDEX(ModeLT,MATCH(D72,ModeName,0)),Settings!$B$16),0))+IF(C72="Africa",Settings!$B$17,0)</f>
        <v>3</v>
      </c>
      <c r="F72" s="10" t="n">
        <f aca="false">B72+E72</f>
        <v>46008</v>
      </c>
      <c r="G72" s="10" t="n">
        <f aca="false">B72+ROUND(INDEX(ModeLT,MATCH(D72,ModeName,0)),0)+Settings!$B$18</f>
        <v>46012</v>
      </c>
      <c r="H72" s="2" t="n">
        <f aca="false">IF(F72&lt;=G72,1,0)</f>
        <v>1</v>
      </c>
      <c r="I72" s="2" t="n">
        <f aca="true">ROUND(_xlfn.LOGNORM.INV(RAND(),5.3,0.6),0)</f>
        <v>497</v>
      </c>
    </row>
    <row r="73" customFormat="false" ht="15" hidden="false" customHeight="false" outlineLevel="0" collapsed="false">
      <c r="A73" s="2" t="str">
        <f aca="false">"ORD-"&amp;TEXT(10000+ROW()-1,"00000")</f>
        <v>ORD-10072</v>
      </c>
      <c r="B73" s="10" t="n">
        <f aca="false">DATE(2025,1,1)+RANDBETWEEN(0,364)</f>
        <v>46008</v>
      </c>
      <c r="C73" s="2" t="str">
        <f aca="true">INDEX(RegName,MATCH(RAND(),RegCum,1))</f>
        <v>Middle East</v>
      </c>
      <c r="D73" s="2" t="str">
        <f aca="true">INDEX(ModeName,MATCH(RAND(),ModeCum,1))</f>
        <v>Rail</v>
      </c>
      <c r="E73" s="2" t="n">
        <f aca="true">MAX(1,ROUND(_xlfn.NORM.INV(RAND(),INDEX(ModeLT,MATCH(D73,ModeName,0)),Settings!$B$16),0))+IF(C73="Africa",Settings!$B$17,0)</f>
        <v>11</v>
      </c>
      <c r="F73" s="10" t="n">
        <f aca="false">B73+E73</f>
        <v>46019</v>
      </c>
      <c r="G73" s="10" t="n">
        <f aca="false">B73+ROUND(INDEX(ModeLT,MATCH(D73,ModeName,0)),0)+Settings!$B$18</f>
        <v>46021</v>
      </c>
      <c r="H73" s="2" t="n">
        <f aca="false">IF(F73&lt;=G73,1,0)</f>
        <v>1</v>
      </c>
      <c r="I73" s="2" t="n">
        <f aca="true">ROUND(_xlfn.LOGNORM.INV(RAND(),5.3,0.6),0)</f>
        <v>171</v>
      </c>
    </row>
    <row r="74" customFormat="false" ht="15" hidden="false" customHeight="false" outlineLevel="0" collapsed="false">
      <c r="A74" s="2" t="str">
        <f aca="false">"ORD-"&amp;TEXT(10000+ROW()-1,"00000")</f>
        <v>ORD-10073</v>
      </c>
      <c r="B74" s="10" t="n">
        <f aca="false">DATE(2025,1,1)+RANDBETWEEN(0,364)</f>
        <v>45693</v>
      </c>
      <c r="C74" s="2" t="str">
        <f aca="true">INDEX(RegName,MATCH(RAND(),RegCum,1))</f>
        <v>Americas</v>
      </c>
      <c r="D74" s="2" t="str">
        <f aca="true">INDEX(ModeName,MATCH(RAND(),ModeCum,1))</f>
        <v>Road</v>
      </c>
      <c r="E74" s="2" t="n">
        <f aca="true">MAX(1,ROUND(_xlfn.NORM.INV(RAND(),INDEX(ModeLT,MATCH(D74,ModeName,0)),Settings!$B$16),0))+IF(C74="Africa",Settings!$B$17,0)</f>
        <v>6</v>
      </c>
      <c r="F74" s="10" t="n">
        <f aca="false">B74+E74</f>
        <v>45699</v>
      </c>
      <c r="G74" s="10" t="n">
        <f aca="false">B74+ROUND(INDEX(ModeLT,MATCH(D74,ModeName,0)),0)+Settings!$B$18</f>
        <v>45702</v>
      </c>
      <c r="H74" s="2" t="n">
        <f aca="false">IF(F74&lt;=G74,1,0)</f>
        <v>1</v>
      </c>
      <c r="I74" s="2" t="n">
        <f aca="true">ROUND(_xlfn.LOGNORM.INV(RAND(),5.3,0.6),0)</f>
        <v>187</v>
      </c>
    </row>
    <row r="75" customFormat="false" ht="15" hidden="false" customHeight="false" outlineLevel="0" collapsed="false">
      <c r="A75" s="2" t="str">
        <f aca="false">"ORD-"&amp;TEXT(10000+ROW()-1,"00000")</f>
        <v>ORD-10074</v>
      </c>
      <c r="B75" s="10" t="n">
        <f aca="false">DATE(2025,1,1)+RANDBETWEEN(0,364)</f>
        <v>46006</v>
      </c>
      <c r="C75" s="2" t="str">
        <f aca="true">INDEX(RegName,MATCH(RAND(),RegCum,1))</f>
        <v>Americas</v>
      </c>
      <c r="D75" s="2" t="str">
        <f aca="true">INDEX(ModeName,MATCH(RAND(),ModeCum,1))</f>
        <v>Air</v>
      </c>
      <c r="E75" s="2" t="n">
        <f aca="true">MAX(1,ROUND(_xlfn.NORM.INV(RAND(),INDEX(ModeLT,MATCH(D75,ModeName,0)),Settings!$B$16),0))+IF(C75="Africa",Settings!$B$17,0)</f>
        <v>4</v>
      </c>
      <c r="F75" s="10" t="n">
        <f aca="false">B75+E75</f>
        <v>46010</v>
      </c>
      <c r="G75" s="10" t="n">
        <f aca="false">B75+ROUND(INDEX(ModeLT,MATCH(D75,ModeName,0)),0)+Settings!$B$18</f>
        <v>46013</v>
      </c>
      <c r="H75" s="2" t="n">
        <f aca="false">IF(F75&lt;=G75,1,0)</f>
        <v>1</v>
      </c>
      <c r="I75" s="2" t="n">
        <f aca="true">ROUND(_xlfn.LOGNORM.INV(RAND(),5.3,0.6),0)</f>
        <v>251</v>
      </c>
    </row>
    <row r="76" customFormat="false" ht="15" hidden="false" customHeight="false" outlineLevel="0" collapsed="false">
      <c r="A76" s="2" t="str">
        <f aca="false">"ORD-"&amp;TEXT(10000+ROW()-1,"00000")</f>
        <v>ORD-10075</v>
      </c>
      <c r="B76" s="10" t="n">
        <f aca="false">DATE(2025,1,1)+RANDBETWEEN(0,364)</f>
        <v>45904</v>
      </c>
      <c r="C76" s="2" t="str">
        <f aca="true">INDEX(RegName,MATCH(RAND(),RegCum,1))</f>
        <v>Africa</v>
      </c>
      <c r="D76" s="2" t="str">
        <f aca="true">INDEX(ModeName,MATCH(RAND(),ModeCum,1))</f>
        <v>Sea</v>
      </c>
      <c r="E76" s="2" t="n">
        <f aca="true">MAX(1,ROUND(_xlfn.NORM.INV(RAND(),INDEX(ModeLT,MATCH(D76,ModeName,0)),Settings!$B$16),0))+IF(C76="Africa",Settings!$B$17,0)</f>
        <v>24</v>
      </c>
      <c r="F76" s="10" t="n">
        <f aca="false">B76+E76</f>
        <v>45928</v>
      </c>
      <c r="G76" s="10" t="n">
        <f aca="false">B76+ROUND(INDEX(ModeLT,MATCH(D76,ModeName,0)),0)+Settings!$B$18</f>
        <v>45927</v>
      </c>
      <c r="H76" s="2" t="n">
        <f aca="false">IF(F76&lt;=G76,1,0)</f>
        <v>0</v>
      </c>
      <c r="I76" s="2" t="n">
        <f aca="true">ROUND(_xlfn.LOGNORM.INV(RAND(),5.3,0.6),0)</f>
        <v>76</v>
      </c>
    </row>
    <row r="77" customFormat="false" ht="15" hidden="false" customHeight="false" outlineLevel="0" collapsed="false">
      <c r="A77" s="2" t="str">
        <f aca="false">"ORD-"&amp;TEXT(10000+ROW()-1,"00000")</f>
        <v>ORD-10076</v>
      </c>
      <c r="B77" s="10" t="n">
        <f aca="false">DATE(2025,1,1)+RANDBETWEEN(0,364)</f>
        <v>45786</v>
      </c>
      <c r="C77" s="2" t="str">
        <f aca="true">INDEX(RegName,MATCH(RAND(),RegCum,1))</f>
        <v>Africa</v>
      </c>
      <c r="D77" s="2" t="str">
        <f aca="true">INDEX(ModeName,MATCH(RAND(),ModeCum,1))</f>
        <v>Sea</v>
      </c>
      <c r="E77" s="2" t="n">
        <f aca="true">MAX(1,ROUND(_xlfn.NORM.INV(RAND(),INDEX(ModeLT,MATCH(D77,ModeName,0)),Settings!$B$16),0))+IF(C77="Africa",Settings!$B$17,0)</f>
        <v>23</v>
      </c>
      <c r="F77" s="10" t="n">
        <f aca="false">B77+E77</f>
        <v>45809</v>
      </c>
      <c r="G77" s="10" t="n">
        <f aca="false">B77+ROUND(INDEX(ModeLT,MATCH(D77,ModeName,0)),0)+Settings!$B$18</f>
        <v>45809</v>
      </c>
      <c r="H77" s="2" t="n">
        <f aca="false">IF(F77&lt;=G77,1,0)</f>
        <v>1</v>
      </c>
      <c r="I77" s="2" t="n">
        <f aca="true">ROUND(_xlfn.LOGNORM.INV(RAND(),5.3,0.6),0)</f>
        <v>182</v>
      </c>
    </row>
    <row r="78" customFormat="false" ht="15" hidden="false" customHeight="false" outlineLevel="0" collapsed="false">
      <c r="A78" s="2" t="str">
        <f aca="false">"ORD-"&amp;TEXT(10000+ROW()-1,"00000")</f>
        <v>ORD-10077</v>
      </c>
      <c r="B78" s="10" t="n">
        <f aca="false">DATE(2025,1,1)+RANDBETWEEN(0,364)</f>
        <v>45813</v>
      </c>
      <c r="C78" s="2" t="str">
        <f aca="true">INDEX(RegName,MATCH(RAND(),RegCum,1))</f>
        <v>Middle East</v>
      </c>
      <c r="D78" s="2" t="str">
        <f aca="true">INDEX(ModeName,MATCH(RAND(),ModeCum,1))</f>
        <v>Road</v>
      </c>
      <c r="E78" s="2" t="n">
        <f aca="true">MAX(1,ROUND(_xlfn.NORM.INV(RAND(),INDEX(ModeLT,MATCH(D78,ModeName,0)),Settings!$B$16),0))+IF(C78="Africa",Settings!$B$17,0)</f>
        <v>7</v>
      </c>
      <c r="F78" s="10" t="n">
        <f aca="false">B78+E78</f>
        <v>45820</v>
      </c>
      <c r="G78" s="10" t="n">
        <f aca="false">B78+ROUND(INDEX(ModeLT,MATCH(D78,ModeName,0)),0)+Settings!$B$18</f>
        <v>45822</v>
      </c>
      <c r="H78" s="2" t="n">
        <f aca="false">IF(F78&lt;=G78,1,0)</f>
        <v>1</v>
      </c>
      <c r="I78" s="2" t="n">
        <f aca="true">ROUND(_xlfn.LOGNORM.INV(RAND(),5.3,0.6),0)</f>
        <v>189</v>
      </c>
    </row>
    <row r="79" customFormat="false" ht="15" hidden="false" customHeight="false" outlineLevel="0" collapsed="false">
      <c r="A79" s="2" t="str">
        <f aca="false">"ORD-"&amp;TEXT(10000+ROW()-1,"00000")</f>
        <v>ORD-10078</v>
      </c>
      <c r="B79" s="10" t="n">
        <f aca="false">DATE(2025,1,1)+RANDBETWEEN(0,364)</f>
        <v>45994</v>
      </c>
      <c r="C79" s="2" t="str">
        <f aca="true">INDEX(RegName,MATCH(RAND(),RegCum,1))</f>
        <v>Middle East</v>
      </c>
      <c r="D79" s="2" t="str">
        <f aca="true">INDEX(ModeName,MATCH(RAND(),ModeCum,1))</f>
        <v>Air</v>
      </c>
      <c r="E79" s="2" t="n">
        <f aca="true">MAX(1,ROUND(_xlfn.NORM.INV(RAND(),INDEX(ModeLT,MATCH(D79,ModeName,0)),Settings!$B$16),0))+IF(C79="Africa",Settings!$B$17,0)</f>
        <v>2</v>
      </c>
      <c r="F79" s="10" t="n">
        <f aca="false">B79+E79</f>
        <v>45996</v>
      </c>
      <c r="G79" s="10" t="n">
        <f aca="false">B79+ROUND(INDEX(ModeLT,MATCH(D79,ModeName,0)),0)+Settings!$B$18</f>
        <v>46001</v>
      </c>
      <c r="H79" s="2" t="n">
        <f aca="false">IF(F79&lt;=G79,1,0)</f>
        <v>1</v>
      </c>
      <c r="I79" s="2" t="n">
        <f aca="true">ROUND(_xlfn.LOGNORM.INV(RAND(),5.3,0.6),0)</f>
        <v>180</v>
      </c>
    </row>
    <row r="80" customFormat="false" ht="15" hidden="false" customHeight="false" outlineLevel="0" collapsed="false">
      <c r="A80" s="2" t="str">
        <f aca="false">"ORD-"&amp;TEXT(10000+ROW()-1,"00000")</f>
        <v>ORD-10079</v>
      </c>
      <c r="B80" s="10" t="n">
        <f aca="false">DATE(2025,1,1)+RANDBETWEEN(0,364)</f>
        <v>45904</v>
      </c>
      <c r="C80" s="2" t="str">
        <f aca="true">INDEX(RegName,MATCH(RAND(),RegCum,1))</f>
        <v>Asia-Pacific</v>
      </c>
      <c r="D80" s="2" t="str">
        <f aca="true">INDEX(ModeName,MATCH(RAND(),ModeCum,1))</f>
        <v>Road</v>
      </c>
      <c r="E80" s="2" t="n">
        <f aca="true">MAX(1,ROUND(_xlfn.NORM.INV(RAND(),INDEX(ModeLT,MATCH(D80,ModeName,0)),Settings!$B$16),0))+IF(C80="Africa",Settings!$B$17,0)</f>
        <v>7</v>
      </c>
      <c r="F80" s="10" t="n">
        <f aca="false">B80+E80</f>
        <v>45911</v>
      </c>
      <c r="G80" s="10" t="n">
        <f aca="false">B80+ROUND(INDEX(ModeLT,MATCH(D80,ModeName,0)),0)+Settings!$B$18</f>
        <v>45913</v>
      </c>
      <c r="H80" s="2" t="n">
        <f aca="false">IF(F80&lt;=G80,1,0)</f>
        <v>1</v>
      </c>
      <c r="I80" s="2" t="n">
        <f aca="true">ROUND(_xlfn.LOGNORM.INV(RAND(),5.3,0.6),0)</f>
        <v>240</v>
      </c>
    </row>
    <row r="81" customFormat="false" ht="15" hidden="false" customHeight="false" outlineLevel="0" collapsed="false">
      <c r="A81" s="2" t="str">
        <f aca="false">"ORD-"&amp;TEXT(10000+ROW()-1,"00000")</f>
        <v>ORD-10080</v>
      </c>
      <c r="B81" s="10" t="n">
        <f aca="false">DATE(2025,1,1)+RANDBETWEEN(0,364)</f>
        <v>45953</v>
      </c>
      <c r="C81" s="2" t="str">
        <f aca="true">INDEX(RegName,MATCH(RAND(),RegCum,1))</f>
        <v>Europe</v>
      </c>
      <c r="D81" s="2" t="str">
        <f aca="true">INDEX(ModeName,MATCH(RAND(),ModeCum,1))</f>
        <v>Rail</v>
      </c>
      <c r="E81" s="2" t="n">
        <f aca="true">MAX(1,ROUND(_xlfn.NORM.INV(RAND(),INDEX(ModeLT,MATCH(D81,ModeName,0)),Settings!$B$16),0))+IF(C81="Africa",Settings!$B$17,0)</f>
        <v>11</v>
      </c>
      <c r="F81" s="10" t="n">
        <f aca="false">B81+E81</f>
        <v>45964</v>
      </c>
      <c r="G81" s="10" t="n">
        <f aca="false">B81+ROUND(INDEX(ModeLT,MATCH(D81,ModeName,0)),0)+Settings!$B$18</f>
        <v>45966</v>
      </c>
      <c r="H81" s="2" t="n">
        <f aca="false">IF(F81&lt;=G81,1,0)</f>
        <v>1</v>
      </c>
      <c r="I81" s="2" t="n">
        <f aca="true">ROUND(_xlfn.LOGNORM.INV(RAND(),5.3,0.6),0)</f>
        <v>214</v>
      </c>
    </row>
    <row r="82" customFormat="false" ht="15" hidden="false" customHeight="false" outlineLevel="0" collapsed="false">
      <c r="A82" s="2" t="str">
        <f aca="false">"ORD-"&amp;TEXT(10000+ROW()-1,"00000")</f>
        <v>ORD-10081</v>
      </c>
      <c r="B82" s="10" t="n">
        <f aca="false">DATE(2025,1,1)+RANDBETWEEN(0,364)</f>
        <v>45680</v>
      </c>
      <c r="C82" s="2" t="str">
        <f aca="true">INDEX(RegName,MATCH(RAND(),RegCum,1))</f>
        <v>Americas</v>
      </c>
      <c r="D82" s="2" t="str">
        <f aca="true">INDEX(ModeName,MATCH(RAND(),ModeCum,1))</f>
        <v>Sea</v>
      </c>
      <c r="E82" s="2" t="n">
        <f aca="true">MAX(1,ROUND(_xlfn.NORM.INV(RAND(),INDEX(ModeLT,MATCH(D82,ModeName,0)),Settings!$B$16),0))+IF(C82="Africa",Settings!$B$17,0)</f>
        <v>20</v>
      </c>
      <c r="F82" s="10" t="n">
        <f aca="false">B82+E82</f>
        <v>45700</v>
      </c>
      <c r="G82" s="10" t="n">
        <f aca="false">B82+ROUND(INDEX(ModeLT,MATCH(D82,ModeName,0)),0)+Settings!$B$18</f>
        <v>45703</v>
      </c>
      <c r="H82" s="2" t="n">
        <f aca="false">IF(F82&lt;=G82,1,0)</f>
        <v>1</v>
      </c>
      <c r="I82" s="2" t="n">
        <f aca="true">ROUND(_xlfn.LOGNORM.INV(RAND(),5.3,0.6),0)</f>
        <v>178</v>
      </c>
    </row>
    <row r="83" customFormat="false" ht="15" hidden="false" customHeight="false" outlineLevel="0" collapsed="false">
      <c r="A83" s="2" t="str">
        <f aca="false">"ORD-"&amp;TEXT(10000+ROW()-1,"00000")</f>
        <v>ORD-10082</v>
      </c>
      <c r="B83" s="10" t="n">
        <f aca="false">DATE(2025,1,1)+RANDBETWEEN(0,364)</f>
        <v>45979</v>
      </c>
      <c r="C83" s="2" t="str">
        <f aca="true">INDEX(RegName,MATCH(RAND(),RegCum,1))</f>
        <v>Africa</v>
      </c>
      <c r="D83" s="2" t="str">
        <f aca="true">INDEX(ModeName,MATCH(RAND(),ModeCum,1))</f>
        <v>Rail</v>
      </c>
      <c r="E83" s="2" t="n">
        <f aca="true">MAX(1,ROUND(_xlfn.NORM.INV(RAND(),INDEX(ModeLT,MATCH(D83,ModeName,0)),Settings!$B$16),0))+IF(C83="Africa",Settings!$B$17,0)</f>
        <v>12</v>
      </c>
      <c r="F83" s="10" t="n">
        <f aca="false">B83+E83</f>
        <v>45991</v>
      </c>
      <c r="G83" s="10" t="n">
        <f aca="false">B83+ROUND(INDEX(ModeLT,MATCH(D83,ModeName,0)),0)+Settings!$B$18</f>
        <v>45992</v>
      </c>
      <c r="H83" s="2" t="n">
        <f aca="false">IF(F83&lt;=G83,1,0)</f>
        <v>1</v>
      </c>
      <c r="I83" s="2" t="n">
        <f aca="true">ROUND(_xlfn.LOGNORM.INV(RAND(),5.3,0.6),0)</f>
        <v>675</v>
      </c>
    </row>
    <row r="84" customFormat="false" ht="15" hidden="false" customHeight="false" outlineLevel="0" collapsed="false">
      <c r="A84" s="2" t="str">
        <f aca="false">"ORD-"&amp;TEXT(10000+ROW()-1,"00000")</f>
        <v>ORD-10083</v>
      </c>
      <c r="B84" s="10" t="n">
        <f aca="false">DATE(2025,1,1)+RANDBETWEEN(0,364)</f>
        <v>45989</v>
      </c>
      <c r="C84" s="2" t="str">
        <f aca="true">INDEX(RegName,MATCH(RAND(),RegCum,1))</f>
        <v>Middle East</v>
      </c>
      <c r="D84" s="2" t="str">
        <f aca="true">INDEX(ModeName,MATCH(RAND(),ModeCum,1))</f>
        <v>Road</v>
      </c>
      <c r="E84" s="2" t="n">
        <f aca="true">MAX(1,ROUND(_xlfn.NORM.INV(RAND(),INDEX(ModeLT,MATCH(D84,ModeName,0)),Settings!$B$16),0))+IF(C84="Africa",Settings!$B$17,0)</f>
        <v>6</v>
      </c>
      <c r="F84" s="10" t="n">
        <f aca="false">B84+E84</f>
        <v>45995</v>
      </c>
      <c r="G84" s="10" t="n">
        <f aca="false">B84+ROUND(INDEX(ModeLT,MATCH(D84,ModeName,0)),0)+Settings!$B$18</f>
        <v>45998</v>
      </c>
      <c r="H84" s="2" t="n">
        <f aca="false">IF(F84&lt;=G84,1,0)</f>
        <v>1</v>
      </c>
      <c r="I84" s="2" t="n">
        <f aca="true">ROUND(_xlfn.LOGNORM.INV(RAND(),5.3,0.6),0)</f>
        <v>452</v>
      </c>
    </row>
    <row r="85" customFormat="false" ht="15" hidden="false" customHeight="false" outlineLevel="0" collapsed="false">
      <c r="A85" s="2" t="str">
        <f aca="false">"ORD-"&amp;TEXT(10000+ROW()-1,"00000")</f>
        <v>ORD-10084</v>
      </c>
      <c r="B85" s="10" t="n">
        <f aca="false">DATE(2025,1,1)+RANDBETWEEN(0,364)</f>
        <v>45763</v>
      </c>
      <c r="C85" s="2" t="str">
        <f aca="true">INDEX(RegName,MATCH(RAND(),RegCum,1))</f>
        <v>Americas</v>
      </c>
      <c r="D85" s="2" t="str">
        <f aca="true">INDEX(ModeName,MATCH(RAND(),ModeCum,1))</f>
        <v>Road</v>
      </c>
      <c r="E85" s="2" t="n">
        <f aca="true">MAX(1,ROUND(_xlfn.NORM.INV(RAND(),INDEX(ModeLT,MATCH(D85,ModeName,0)),Settings!$B$16),0))+IF(C85="Africa",Settings!$B$17,0)</f>
        <v>5</v>
      </c>
      <c r="F85" s="10" t="n">
        <f aca="false">B85+E85</f>
        <v>45768</v>
      </c>
      <c r="G85" s="10" t="n">
        <f aca="false">B85+ROUND(INDEX(ModeLT,MATCH(D85,ModeName,0)),0)+Settings!$B$18</f>
        <v>45772</v>
      </c>
      <c r="H85" s="2" t="n">
        <f aca="false">IF(F85&lt;=G85,1,0)</f>
        <v>1</v>
      </c>
      <c r="I85" s="2" t="n">
        <f aca="true">ROUND(_xlfn.LOGNORM.INV(RAND(),5.3,0.6),0)</f>
        <v>233</v>
      </c>
    </row>
    <row r="86" customFormat="false" ht="15" hidden="false" customHeight="false" outlineLevel="0" collapsed="false">
      <c r="A86" s="2" t="str">
        <f aca="false">"ORD-"&amp;TEXT(10000+ROW()-1,"00000")</f>
        <v>ORD-10085</v>
      </c>
      <c r="B86" s="10" t="n">
        <f aca="false">DATE(2025,1,1)+RANDBETWEEN(0,364)</f>
        <v>45963</v>
      </c>
      <c r="C86" s="2" t="str">
        <f aca="true">INDEX(RegName,MATCH(RAND(),RegCum,1))</f>
        <v>Americas</v>
      </c>
      <c r="D86" s="2" t="str">
        <f aca="true">INDEX(ModeName,MATCH(RAND(),ModeCum,1))</f>
        <v>Road</v>
      </c>
      <c r="E86" s="2" t="n">
        <f aca="true">MAX(1,ROUND(_xlfn.NORM.INV(RAND(),INDEX(ModeLT,MATCH(D86,ModeName,0)),Settings!$B$16),0))+IF(C86="Africa",Settings!$B$17,0)</f>
        <v>6</v>
      </c>
      <c r="F86" s="10" t="n">
        <f aca="false">B86+E86</f>
        <v>45969</v>
      </c>
      <c r="G86" s="10" t="n">
        <f aca="false">B86+ROUND(INDEX(ModeLT,MATCH(D86,ModeName,0)),0)+Settings!$B$18</f>
        <v>45972</v>
      </c>
      <c r="H86" s="2" t="n">
        <f aca="false">IF(F86&lt;=G86,1,0)</f>
        <v>1</v>
      </c>
      <c r="I86" s="2" t="n">
        <f aca="true">ROUND(_xlfn.LOGNORM.INV(RAND(),5.3,0.6),0)</f>
        <v>195</v>
      </c>
    </row>
    <row r="87" customFormat="false" ht="15" hidden="false" customHeight="false" outlineLevel="0" collapsed="false">
      <c r="A87" s="2" t="str">
        <f aca="false">"ORD-"&amp;TEXT(10000+ROW()-1,"00000")</f>
        <v>ORD-10086</v>
      </c>
      <c r="B87" s="10" t="n">
        <f aca="false">DATE(2025,1,1)+RANDBETWEEN(0,364)</f>
        <v>45944</v>
      </c>
      <c r="C87" s="2" t="str">
        <f aca="true">INDEX(RegName,MATCH(RAND(),RegCum,1))</f>
        <v>Europe</v>
      </c>
      <c r="D87" s="2" t="str">
        <f aca="true">INDEX(ModeName,MATCH(RAND(),ModeCum,1))</f>
        <v>Sea</v>
      </c>
      <c r="E87" s="2" t="n">
        <f aca="true">MAX(1,ROUND(_xlfn.NORM.INV(RAND(),INDEX(ModeLT,MATCH(D87,ModeName,0)),Settings!$B$16),0))+IF(C87="Africa",Settings!$B$17,0)</f>
        <v>20</v>
      </c>
      <c r="F87" s="10" t="n">
        <f aca="false">B87+E87</f>
        <v>45964</v>
      </c>
      <c r="G87" s="10" t="n">
        <f aca="false">B87+ROUND(INDEX(ModeLT,MATCH(D87,ModeName,0)),0)+Settings!$B$18</f>
        <v>45967</v>
      </c>
      <c r="H87" s="2" t="n">
        <f aca="false">IF(F87&lt;=G87,1,0)</f>
        <v>1</v>
      </c>
      <c r="I87" s="2" t="n">
        <f aca="true">ROUND(_xlfn.LOGNORM.INV(RAND(),5.3,0.6),0)</f>
        <v>260</v>
      </c>
    </row>
    <row r="88" customFormat="false" ht="15" hidden="false" customHeight="false" outlineLevel="0" collapsed="false">
      <c r="A88" s="2" t="str">
        <f aca="false">"ORD-"&amp;TEXT(10000+ROW()-1,"00000")</f>
        <v>ORD-10087</v>
      </c>
      <c r="B88" s="10" t="n">
        <f aca="false">DATE(2025,1,1)+RANDBETWEEN(0,364)</f>
        <v>45695</v>
      </c>
      <c r="C88" s="2" t="str">
        <f aca="true">INDEX(RegName,MATCH(RAND(),RegCum,1))</f>
        <v>Europe</v>
      </c>
      <c r="D88" s="2" t="str">
        <f aca="true">INDEX(ModeName,MATCH(RAND(),ModeCum,1))</f>
        <v>Sea</v>
      </c>
      <c r="E88" s="2" t="n">
        <f aca="true">MAX(1,ROUND(_xlfn.NORM.INV(RAND(),INDEX(ModeLT,MATCH(D88,ModeName,0)),Settings!$B$16),0))+IF(C88="Africa",Settings!$B$17,0)</f>
        <v>22</v>
      </c>
      <c r="F88" s="10" t="n">
        <f aca="false">B88+E88</f>
        <v>45717</v>
      </c>
      <c r="G88" s="10" t="n">
        <f aca="false">B88+ROUND(INDEX(ModeLT,MATCH(D88,ModeName,0)),0)+Settings!$B$18</f>
        <v>45718</v>
      </c>
      <c r="H88" s="2" t="n">
        <f aca="false">IF(F88&lt;=G88,1,0)</f>
        <v>1</v>
      </c>
      <c r="I88" s="2" t="n">
        <f aca="true">ROUND(_xlfn.LOGNORM.INV(RAND(),5.3,0.6),0)</f>
        <v>108</v>
      </c>
    </row>
    <row r="89" customFormat="false" ht="15" hidden="false" customHeight="false" outlineLevel="0" collapsed="false">
      <c r="A89" s="2" t="str">
        <f aca="false">"ORD-"&amp;TEXT(10000+ROW()-1,"00000")</f>
        <v>ORD-10088</v>
      </c>
      <c r="B89" s="10" t="n">
        <f aca="false">DATE(2025,1,1)+RANDBETWEEN(0,364)</f>
        <v>45969</v>
      </c>
      <c r="C89" s="2" t="str">
        <f aca="true">INDEX(RegName,MATCH(RAND(),RegCum,1))</f>
        <v>Middle East</v>
      </c>
      <c r="D89" s="2" t="str">
        <f aca="true">INDEX(ModeName,MATCH(RAND(),ModeCum,1))</f>
        <v>Road</v>
      </c>
      <c r="E89" s="2" t="n">
        <f aca="true">MAX(1,ROUND(_xlfn.NORM.INV(RAND(),INDEX(ModeLT,MATCH(D89,ModeName,0)),Settings!$B$16),0))+IF(C89="Africa",Settings!$B$17,0)</f>
        <v>6</v>
      </c>
      <c r="F89" s="10" t="n">
        <f aca="false">B89+E89</f>
        <v>45975</v>
      </c>
      <c r="G89" s="10" t="n">
        <f aca="false">B89+ROUND(INDEX(ModeLT,MATCH(D89,ModeName,0)),0)+Settings!$B$18</f>
        <v>45978</v>
      </c>
      <c r="H89" s="2" t="n">
        <f aca="false">IF(F89&lt;=G89,1,0)</f>
        <v>1</v>
      </c>
      <c r="I89" s="2" t="n">
        <f aca="true">ROUND(_xlfn.LOGNORM.INV(RAND(),5.3,0.6),0)</f>
        <v>262</v>
      </c>
    </row>
    <row r="90" customFormat="false" ht="15" hidden="false" customHeight="false" outlineLevel="0" collapsed="false">
      <c r="A90" s="2" t="str">
        <f aca="false">"ORD-"&amp;TEXT(10000+ROW()-1,"00000")</f>
        <v>ORD-10089</v>
      </c>
      <c r="B90" s="10" t="n">
        <f aca="false">DATE(2025,1,1)+RANDBETWEEN(0,364)</f>
        <v>45706</v>
      </c>
      <c r="C90" s="2" t="str">
        <f aca="true">INDEX(RegName,MATCH(RAND(),RegCum,1))</f>
        <v>Americas</v>
      </c>
      <c r="D90" s="2" t="str">
        <f aca="true">INDEX(ModeName,MATCH(RAND(),ModeCum,1))</f>
        <v>Road</v>
      </c>
      <c r="E90" s="2" t="n">
        <f aca="true">MAX(1,ROUND(_xlfn.NORM.INV(RAND(),INDEX(ModeLT,MATCH(D90,ModeName,0)),Settings!$B$16),0))+IF(C90="Africa",Settings!$B$17,0)</f>
        <v>6</v>
      </c>
      <c r="F90" s="10" t="n">
        <f aca="false">B90+E90</f>
        <v>45712</v>
      </c>
      <c r="G90" s="10" t="n">
        <f aca="false">B90+ROUND(INDEX(ModeLT,MATCH(D90,ModeName,0)),0)+Settings!$B$18</f>
        <v>45715</v>
      </c>
      <c r="H90" s="2" t="n">
        <f aca="false">IF(F90&lt;=G90,1,0)</f>
        <v>1</v>
      </c>
      <c r="I90" s="2" t="n">
        <f aca="true">ROUND(_xlfn.LOGNORM.INV(RAND(),5.3,0.6),0)</f>
        <v>130</v>
      </c>
    </row>
    <row r="91" customFormat="false" ht="15" hidden="false" customHeight="false" outlineLevel="0" collapsed="false">
      <c r="A91" s="2" t="str">
        <f aca="false">"ORD-"&amp;TEXT(10000+ROW()-1,"00000")</f>
        <v>ORD-10090</v>
      </c>
      <c r="B91" s="10" t="n">
        <f aca="false">DATE(2025,1,1)+RANDBETWEEN(0,364)</f>
        <v>45682</v>
      </c>
      <c r="C91" s="2" t="str">
        <f aca="true">INDEX(RegName,MATCH(RAND(),RegCum,1))</f>
        <v>Americas</v>
      </c>
      <c r="D91" s="2" t="str">
        <f aca="true">INDEX(ModeName,MATCH(RAND(),ModeCum,1))</f>
        <v>Sea</v>
      </c>
      <c r="E91" s="2" t="n">
        <f aca="true">MAX(1,ROUND(_xlfn.NORM.INV(RAND(),INDEX(ModeLT,MATCH(D91,ModeName,0)),Settings!$B$16),0))+IF(C91="Africa",Settings!$B$17,0)</f>
        <v>21</v>
      </c>
      <c r="F91" s="10" t="n">
        <f aca="false">B91+E91</f>
        <v>45703</v>
      </c>
      <c r="G91" s="10" t="n">
        <f aca="false">B91+ROUND(INDEX(ModeLT,MATCH(D91,ModeName,0)),0)+Settings!$B$18</f>
        <v>45705</v>
      </c>
      <c r="H91" s="2" t="n">
        <f aca="false">IF(F91&lt;=G91,1,0)</f>
        <v>1</v>
      </c>
      <c r="I91" s="2" t="n">
        <f aca="true">ROUND(_xlfn.LOGNORM.INV(RAND(),5.3,0.6),0)</f>
        <v>235</v>
      </c>
    </row>
    <row r="92" customFormat="false" ht="15" hidden="false" customHeight="false" outlineLevel="0" collapsed="false">
      <c r="A92" s="2" t="str">
        <f aca="false">"ORD-"&amp;TEXT(10000+ROW()-1,"00000")</f>
        <v>ORD-10091</v>
      </c>
      <c r="B92" s="10" t="n">
        <f aca="false">DATE(2025,1,1)+RANDBETWEEN(0,364)</f>
        <v>45723</v>
      </c>
      <c r="C92" s="2" t="str">
        <f aca="true">INDEX(RegName,MATCH(RAND(),RegCum,1))</f>
        <v>Americas</v>
      </c>
      <c r="D92" s="2" t="str">
        <f aca="true">INDEX(ModeName,MATCH(RAND(),ModeCum,1))</f>
        <v>Air</v>
      </c>
      <c r="E92" s="2" t="n">
        <f aca="true">MAX(1,ROUND(_xlfn.NORM.INV(RAND(),INDEX(ModeLT,MATCH(D92,ModeName,0)),Settings!$B$16),0))+IF(C92="Africa",Settings!$B$17,0)</f>
        <v>5</v>
      </c>
      <c r="F92" s="10" t="n">
        <f aca="false">B92+E92</f>
        <v>45728</v>
      </c>
      <c r="G92" s="10" t="n">
        <f aca="false">B92+ROUND(INDEX(ModeLT,MATCH(D92,ModeName,0)),0)+Settings!$B$18</f>
        <v>45730</v>
      </c>
      <c r="H92" s="2" t="n">
        <f aca="false">IF(F92&lt;=G92,1,0)</f>
        <v>1</v>
      </c>
      <c r="I92" s="2" t="n">
        <f aca="true">ROUND(_xlfn.LOGNORM.INV(RAND(),5.3,0.6),0)</f>
        <v>268</v>
      </c>
    </row>
    <row r="93" customFormat="false" ht="15" hidden="false" customHeight="false" outlineLevel="0" collapsed="false">
      <c r="A93" s="2" t="str">
        <f aca="false">"ORD-"&amp;TEXT(10000+ROW()-1,"00000")</f>
        <v>ORD-10092</v>
      </c>
      <c r="B93" s="10" t="n">
        <f aca="false">DATE(2025,1,1)+RANDBETWEEN(0,364)</f>
        <v>45760</v>
      </c>
      <c r="C93" s="2" t="str">
        <f aca="true">INDEX(RegName,MATCH(RAND(),RegCum,1))</f>
        <v>Asia-Pacific</v>
      </c>
      <c r="D93" s="2" t="str">
        <f aca="true">INDEX(ModeName,MATCH(RAND(),ModeCum,1))</f>
        <v>Sea</v>
      </c>
      <c r="E93" s="2" t="n">
        <f aca="true">MAX(1,ROUND(_xlfn.NORM.INV(RAND(),INDEX(ModeLT,MATCH(D93,ModeName,0)),Settings!$B$16),0))+IF(C93="Africa",Settings!$B$17,0)</f>
        <v>21</v>
      </c>
      <c r="F93" s="10" t="n">
        <f aca="false">B93+E93</f>
        <v>45781</v>
      </c>
      <c r="G93" s="10" t="n">
        <f aca="false">B93+ROUND(INDEX(ModeLT,MATCH(D93,ModeName,0)),0)+Settings!$B$18</f>
        <v>45783</v>
      </c>
      <c r="H93" s="2" t="n">
        <f aca="false">IF(F93&lt;=G93,1,0)</f>
        <v>1</v>
      </c>
      <c r="I93" s="2" t="n">
        <f aca="true">ROUND(_xlfn.LOGNORM.INV(RAND(),5.3,0.6),0)</f>
        <v>215</v>
      </c>
    </row>
    <row r="94" customFormat="false" ht="15" hidden="false" customHeight="false" outlineLevel="0" collapsed="false">
      <c r="A94" s="2" t="str">
        <f aca="false">"ORD-"&amp;TEXT(10000+ROW()-1,"00000")</f>
        <v>ORD-10093</v>
      </c>
      <c r="B94" s="10" t="n">
        <f aca="false">DATE(2025,1,1)+RANDBETWEEN(0,364)</f>
        <v>46000</v>
      </c>
      <c r="C94" s="2" t="str">
        <f aca="true">INDEX(RegName,MATCH(RAND(),RegCum,1))</f>
        <v>Europe</v>
      </c>
      <c r="D94" s="2" t="str">
        <f aca="true">INDEX(ModeName,MATCH(RAND(),ModeCum,1))</f>
        <v>Sea</v>
      </c>
      <c r="E94" s="2" t="n">
        <f aca="true">MAX(1,ROUND(_xlfn.NORM.INV(RAND(),INDEX(ModeLT,MATCH(D94,ModeName,0)),Settings!$B$16),0))+IF(C94="Africa",Settings!$B$17,0)</f>
        <v>25</v>
      </c>
      <c r="F94" s="10" t="n">
        <f aca="false">B94+E94</f>
        <v>46025</v>
      </c>
      <c r="G94" s="10" t="n">
        <f aca="false">B94+ROUND(INDEX(ModeLT,MATCH(D94,ModeName,0)),0)+Settings!$B$18</f>
        <v>46023</v>
      </c>
      <c r="H94" s="2" t="n">
        <f aca="false">IF(F94&lt;=G94,1,0)</f>
        <v>0</v>
      </c>
      <c r="I94" s="2" t="n">
        <f aca="true">ROUND(_xlfn.LOGNORM.INV(RAND(),5.3,0.6),0)</f>
        <v>342</v>
      </c>
    </row>
    <row r="95" customFormat="false" ht="15" hidden="false" customHeight="false" outlineLevel="0" collapsed="false">
      <c r="A95" s="2" t="str">
        <f aca="false">"ORD-"&amp;TEXT(10000+ROW()-1,"00000")</f>
        <v>ORD-10094</v>
      </c>
      <c r="B95" s="10" t="n">
        <f aca="false">DATE(2025,1,1)+RANDBETWEEN(0,364)</f>
        <v>45713</v>
      </c>
      <c r="C95" s="2" t="str">
        <f aca="true">INDEX(RegName,MATCH(RAND(),RegCum,1))</f>
        <v>Middle East</v>
      </c>
      <c r="D95" s="2" t="str">
        <f aca="true">INDEX(ModeName,MATCH(RAND(),ModeCum,1))</f>
        <v>Road</v>
      </c>
      <c r="E95" s="2" t="n">
        <f aca="true">MAX(1,ROUND(_xlfn.NORM.INV(RAND(),INDEX(ModeLT,MATCH(D95,ModeName,0)),Settings!$B$16),0))+IF(C95="Africa",Settings!$B$17,0)</f>
        <v>7</v>
      </c>
      <c r="F95" s="10" t="n">
        <f aca="false">B95+E95</f>
        <v>45720</v>
      </c>
      <c r="G95" s="10" t="n">
        <f aca="false">B95+ROUND(INDEX(ModeLT,MATCH(D95,ModeName,0)),0)+Settings!$B$18</f>
        <v>45722</v>
      </c>
      <c r="H95" s="2" t="n">
        <f aca="false">IF(F95&lt;=G95,1,0)</f>
        <v>1</v>
      </c>
      <c r="I95" s="2" t="n">
        <f aca="true">ROUND(_xlfn.LOGNORM.INV(RAND(),5.3,0.6),0)</f>
        <v>99</v>
      </c>
    </row>
    <row r="96" customFormat="false" ht="15" hidden="false" customHeight="false" outlineLevel="0" collapsed="false">
      <c r="A96" s="2" t="str">
        <f aca="false">"ORD-"&amp;TEXT(10000+ROW()-1,"00000")</f>
        <v>ORD-10095</v>
      </c>
      <c r="B96" s="10" t="n">
        <f aca="false">DATE(2025,1,1)+RANDBETWEEN(0,364)</f>
        <v>45957</v>
      </c>
      <c r="C96" s="2" t="str">
        <f aca="true">INDEX(RegName,MATCH(RAND(),RegCum,1))</f>
        <v>Africa</v>
      </c>
      <c r="D96" s="2" t="str">
        <f aca="true">INDEX(ModeName,MATCH(RAND(),ModeCum,1))</f>
        <v>Rail</v>
      </c>
      <c r="E96" s="2" t="n">
        <f aca="true">MAX(1,ROUND(_xlfn.NORM.INV(RAND(),INDEX(ModeLT,MATCH(D96,ModeName,0)),Settings!$B$16),0))+IF(C96="Africa",Settings!$B$17,0)</f>
        <v>12</v>
      </c>
      <c r="F96" s="10" t="n">
        <f aca="false">B96+E96</f>
        <v>45969</v>
      </c>
      <c r="G96" s="10" t="n">
        <f aca="false">B96+ROUND(INDEX(ModeLT,MATCH(D96,ModeName,0)),0)+Settings!$B$18</f>
        <v>45970</v>
      </c>
      <c r="H96" s="2" t="n">
        <f aca="false">IF(F96&lt;=G96,1,0)</f>
        <v>1</v>
      </c>
      <c r="I96" s="2" t="n">
        <f aca="true">ROUND(_xlfn.LOGNORM.INV(RAND(),5.3,0.6),0)</f>
        <v>128</v>
      </c>
    </row>
    <row r="97" customFormat="false" ht="15" hidden="false" customHeight="false" outlineLevel="0" collapsed="false">
      <c r="A97" s="2" t="str">
        <f aca="false">"ORD-"&amp;TEXT(10000+ROW()-1,"00000")</f>
        <v>ORD-10096</v>
      </c>
      <c r="B97" s="10" t="n">
        <f aca="false">DATE(2025,1,1)+RANDBETWEEN(0,364)</f>
        <v>45677</v>
      </c>
      <c r="C97" s="2" t="str">
        <f aca="true">INDEX(RegName,MATCH(RAND(),RegCum,1))</f>
        <v>Europe</v>
      </c>
      <c r="D97" s="2" t="str">
        <f aca="true">INDEX(ModeName,MATCH(RAND(),ModeCum,1))</f>
        <v>Road</v>
      </c>
      <c r="E97" s="2" t="n">
        <f aca="true">MAX(1,ROUND(_xlfn.NORM.INV(RAND(),INDEX(ModeLT,MATCH(D97,ModeName,0)),Settings!$B$16),0))+IF(C97="Africa",Settings!$B$17,0)</f>
        <v>5</v>
      </c>
      <c r="F97" s="10" t="n">
        <f aca="false">B97+E97</f>
        <v>45682</v>
      </c>
      <c r="G97" s="10" t="n">
        <f aca="false">B97+ROUND(INDEX(ModeLT,MATCH(D97,ModeName,0)),0)+Settings!$B$18</f>
        <v>45686</v>
      </c>
      <c r="H97" s="2" t="n">
        <f aca="false">IF(F97&lt;=G97,1,0)</f>
        <v>1</v>
      </c>
      <c r="I97" s="2" t="n">
        <f aca="true">ROUND(_xlfn.LOGNORM.INV(RAND(),5.3,0.6),0)</f>
        <v>490</v>
      </c>
    </row>
    <row r="98" customFormat="false" ht="15" hidden="false" customHeight="false" outlineLevel="0" collapsed="false">
      <c r="A98" s="2" t="str">
        <f aca="false">"ORD-"&amp;TEXT(10000+ROW()-1,"00000")</f>
        <v>ORD-10097</v>
      </c>
      <c r="B98" s="10" t="n">
        <f aca="false">DATE(2025,1,1)+RANDBETWEEN(0,364)</f>
        <v>45677</v>
      </c>
      <c r="C98" s="2" t="str">
        <f aca="true">INDEX(RegName,MATCH(RAND(),RegCum,1))</f>
        <v>Europe</v>
      </c>
      <c r="D98" s="2" t="str">
        <f aca="true">INDEX(ModeName,MATCH(RAND(),ModeCum,1))</f>
        <v>Road</v>
      </c>
      <c r="E98" s="2" t="n">
        <f aca="true">MAX(1,ROUND(_xlfn.NORM.INV(RAND(),INDEX(ModeLT,MATCH(D98,ModeName,0)),Settings!$B$16),0))+IF(C98="Africa",Settings!$B$17,0)</f>
        <v>7</v>
      </c>
      <c r="F98" s="10" t="n">
        <f aca="false">B98+E98</f>
        <v>45684</v>
      </c>
      <c r="G98" s="10" t="n">
        <f aca="false">B98+ROUND(INDEX(ModeLT,MATCH(D98,ModeName,0)),0)+Settings!$B$18</f>
        <v>45686</v>
      </c>
      <c r="H98" s="2" t="n">
        <f aca="false">IF(F98&lt;=G98,1,0)</f>
        <v>1</v>
      </c>
      <c r="I98" s="2" t="n">
        <f aca="true">ROUND(_xlfn.LOGNORM.INV(RAND(),5.3,0.6),0)</f>
        <v>167</v>
      </c>
    </row>
    <row r="99" customFormat="false" ht="15" hidden="false" customHeight="false" outlineLevel="0" collapsed="false">
      <c r="A99" s="2" t="str">
        <f aca="false">"ORD-"&amp;TEXT(10000+ROW()-1,"00000")</f>
        <v>ORD-10098</v>
      </c>
      <c r="B99" s="10" t="n">
        <f aca="false">DATE(2025,1,1)+RANDBETWEEN(0,364)</f>
        <v>45659</v>
      </c>
      <c r="C99" s="2" t="str">
        <f aca="true">INDEX(RegName,MATCH(RAND(),RegCum,1))</f>
        <v>Africa</v>
      </c>
      <c r="D99" s="2" t="str">
        <f aca="true">INDEX(ModeName,MATCH(RAND(),ModeCum,1))</f>
        <v>Air</v>
      </c>
      <c r="E99" s="2" t="n">
        <f aca="true">MAX(1,ROUND(_xlfn.NORM.INV(RAND(),INDEX(ModeLT,MATCH(D99,ModeName,0)),Settings!$B$16),0))+IF(C99="Africa",Settings!$B$17,0)</f>
        <v>3</v>
      </c>
      <c r="F99" s="10" t="n">
        <f aca="false">B99+E99</f>
        <v>45662</v>
      </c>
      <c r="G99" s="10" t="n">
        <f aca="false">B99+ROUND(INDEX(ModeLT,MATCH(D99,ModeName,0)),0)+Settings!$B$18</f>
        <v>45666</v>
      </c>
      <c r="H99" s="2" t="n">
        <f aca="false">IF(F99&lt;=G99,1,0)</f>
        <v>1</v>
      </c>
      <c r="I99" s="2" t="n">
        <f aca="true">ROUND(_xlfn.LOGNORM.INV(RAND(),5.3,0.6),0)</f>
        <v>224</v>
      </c>
    </row>
    <row r="100" customFormat="false" ht="15" hidden="false" customHeight="false" outlineLevel="0" collapsed="false">
      <c r="A100" s="2" t="str">
        <f aca="false">"ORD-"&amp;TEXT(10000+ROW()-1,"00000")</f>
        <v>ORD-10099</v>
      </c>
      <c r="B100" s="10" t="n">
        <f aca="false">DATE(2025,1,1)+RANDBETWEEN(0,364)</f>
        <v>45953</v>
      </c>
      <c r="C100" s="2" t="str">
        <f aca="true">INDEX(RegName,MATCH(RAND(),RegCum,1))</f>
        <v>Europe</v>
      </c>
      <c r="D100" s="2" t="str">
        <f aca="true">INDEX(ModeName,MATCH(RAND(),ModeCum,1))</f>
        <v>Road</v>
      </c>
      <c r="E100" s="2" t="n">
        <f aca="true">MAX(1,ROUND(_xlfn.NORM.INV(RAND(),INDEX(ModeLT,MATCH(D100,ModeName,0)),Settings!$B$16),0))+IF(C100="Africa",Settings!$B$17,0)</f>
        <v>6</v>
      </c>
      <c r="F100" s="10" t="n">
        <f aca="false">B100+E100</f>
        <v>45959</v>
      </c>
      <c r="G100" s="10" t="n">
        <f aca="false">B100+ROUND(INDEX(ModeLT,MATCH(D100,ModeName,0)),0)+Settings!$B$18</f>
        <v>45962</v>
      </c>
      <c r="H100" s="2" t="n">
        <f aca="false">IF(F100&lt;=G100,1,0)</f>
        <v>1</v>
      </c>
      <c r="I100" s="2" t="n">
        <f aca="true">ROUND(_xlfn.LOGNORM.INV(RAND(),5.3,0.6),0)</f>
        <v>447</v>
      </c>
    </row>
    <row r="101" customFormat="false" ht="15" hidden="false" customHeight="false" outlineLevel="0" collapsed="false">
      <c r="A101" s="2" t="str">
        <f aca="false">"ORD-"&amp;TEXT(10000+ROW()-1,"00000")</f>
        <v>ORD-10100</v>
      </c>
      <c r="B101" s="10" t="n">
        <f aca="false">DATE(2025,1,1)+RANDBETWEEN(0,364)</f>
        <v>45886</v>
      </c>
      <c r="C101" s="2" t="str">
        <f aca="true">INDEX(RegName,MATCH(RAND(),RegCum,1))</f>
        <v>Middle East</v>
      </c>
      <c r="D101" s="2" t="str">
        <f aca="true">INDEX(ModeName,MATCH(RAND(),ModeCum,1))</f>
        <v>Rail</v>
      </c>
      <c r="E101" s="2" t="n">
        <f aca="true">MAX(1,ROUND(_xlfn.NORM.INV(RAND(),INDEX(ModeLT,MATCH(D101,ModeName,0)),Settings!$B$16),0))+IF(C101="Africa",Settings!$B$17,0)</f>
        <v>11</v>
      </c>
      <c r="F101" s="10" t="n">
        <f aca="false">B101+E101</f>
        <v>45897</v>
      </c>
      <c r="G101" s="10" t="n">
        <f aca="false">B101+ROUND(INDEX(ModeLT,MATCH(D101,ModeName,0)),0)+Settings!$B$18</f>
        <v>45899</v>
      </c>
      <c r="H101" s="2" t="n">
        <f aca="false">IF(F101&lt;=G101,1,0)</f>
        <v>1</v>
      </c>
      <c r="I101" s="2" t="n">
        <f aca="true">ROUND(_xlfn.LOGNORM.INV(RAND(),5.3,0.6),0)</f>
        <v>389</v>
      </c>
    </row>
    <row r="102" customFormat="false" ht="15" hidden="false" customHeight="false" outlineLevel="0" collapsed="false">
      <c r="A102" s="2" t="str">
        <f aca="false">"ORD-"&amp;TEXT(10000+ROW()-1,"00000")</f>
        <v>ORD-10101</v>
      </c>
      <c r="B102" s="10" t="n">
        <f aca="false">DATE(2025,1,1)+RANDBETWEEN(0,364)</f>
        <v>45940</v>
      </c>
      <c r="C102" s="2" t="str">
        <f aca="true">INDEX(RegName,MATCH(RAND(),RegCum,1))</f>
        <v>Europe</v>
      </c>
      <c r="D102" s="2" t="str">
        <f aca="true">INDEX(ModeName,MATCH(RAND(),ModeCum,1))</f>
        <v>Air</v>
      </c>
      <c r="E102" s="2" t="n">
        <f aca="true">MAX(1,ROUND(_xlfn.NORM.INV(RAND(),INDEX(ModeLT,MATCH(D102,ModeName,0)),Settings!$B$16),0))+IF(C102="Africa",Settings!$B$17,0)</f>
        <v>6</v>
      </c>
      <c r="F102" s="10" t="n">
        <f aca="false">B102+E102</f>
        <v>45946</v>
      </c>
      <c r="G102" s="10" t="n">
        <f aca="false">B102+ROUND(INDEX(ModeLT,MATCH(D102,ModeName,0)),0)+Settings!$B$18</f>
        <v>45947</v>
      </c>
      <c r="H102" s="2" t="n">
        <f aca="false">IF(F102&lt;=G102,1,0)</f>
        <v>1</v>
      </c>
      <c r="I102" s="2" t="n">
        <f aca="true">ROUND(_xlfn.LOGNORM.INV(RAND(),5.3,0.6),0)</f>
        <v>247</v>
      </c>
    </row>
    <row r="103" customFormat="false" ht="15" hidden="false" customHeight="false" outlineLevel="0" collapsed="false">
      <c r="A103" s="2" t="str">
        <f aca="false">"ORD-"&amp;TEXT(10000+ROW()-1,"00000")</f>
        <v>ORD-10102</v>
      </c>
      <c r="B103" s="10" t="n">
        <f aca="false">DATE(2025,1,1)+RANDBETWEEN(0,364)</f>
        <v>45706</v>
      </c>
      <c r="C103" s="2" t="str">
        <f aca="true">INDEX(RegName,MATCH(RAND(),RegCum,1))</f>
        <v>Africa</v>
      </c>
      <c r="D103" s="2" t="str">
        <f aca="true">INDEX(ModeName,MATCH(RAND(),ModeCum,1))</f>
        <v>Rail</v>
      </c>
      <c r="E103" s="2" t="n">
        <f aca="true">MAX(1,ROUND(_xlfn.NORM.INV(RAND(),INDEX(ModeLT,MATCH(D103,ModeName,0)),Settings!$B$16),0))+IF(C103="Africa",Settings!$B$17,0)</f>
        <v>13</v>
      </c>
      <c r="F103" s="10" t="n">
        <f aca="false">B103+E103</f>
        <v>45719</v>
      </c>
      <c r="G103" s="10" t="n">
        <f aca="false">B103+ROUND(INDEX(ModeLT,MATCH(D103,ModeName,0)),0)+Settings!$B$18</f>
        <v>45719</v>
      </c>
      <c r="H103" s="2" t="n">
        <f aca="false">IF(F103&lt;=G103,1,0)</f>
        <v>1</v>
      </c>
      <c r="I103" s="2" t="n">
        <f aca="true">ROUND(_xlfn.LOGNORM.INV(RAND(),5.3,0.6),0)</f>
        <v>229</v>
      </c>
    </row>
    <row r="104" customFormat="false" ht="15" hidden="false" customHeight="false" outlineLevel="0" collapsed="false">
      <c r="A104" s="2" t="str">
        <f aca="false">"ORD-"&amp;TEXT(10000+ROW()-1,"00000")</f>
        <v>ORD-10103</v>
      </c>
      <c r="B104" s="10" t="n">
        <f aca="false">DATE(2025,1,1)+RANDBETWEEN(0,364)</f>
        <v>45895</v>
      </c>
      <c r="C104" s="2" t="str">
        <f aca="true">INDEX(RegName,MATCH(RAND(),RegCum,1))</f>
        <v>Europe</v>
      </c>
      <c r="D104" s="2" t="str">
        <f aca="true">INDEX(ModeName,MATCH(RAND(),ModeCum,1))</f>
        <v>Road</v>
      </c>
      <c r="E104" s="2" t="n">
        <f aca="true">MAX(1,ROUND(_xlfn.NORM.INV(RAND(),INDEX(ModeLT,MATCH(D104,ModeName,0)),Settings!$B$16),0))+IF(C104="Africa",Settings!$B$17,0)</f>
        <v>5</v>
      </c>
      <c r="F104" s="10" t="n">
        <f aca="false">B104+E104</f>
        <v>45900</v>
      </c>
      <c r="G104" s="10" t="n">
        <f aca="false">B104+ROUND(INDEX(ModeLT,MATCH(D104,ModeName,0)),0)+Settings!$B$18</f>
        <v>45904</v>
      </c>
      <c r="H104" s="2" t="n">
        <f aca="false">IF(F104&lt;=G104,1,0)</f>
        <v>1</v>
      </c>
      <c r="I104" s="2" t="n">
        <f aca="true">ROUND(_xlfn.LOGNORM.INV(RAND(),5.3,0.6),0)</f>
        <v>120</v>
      </c>
    </row>
    <row r="105" customFormat="false" ht="15" hidden="false" customHeight="false" outlineLevel="0" collapsed="false">
      <c r="A105" s="2" t="str">
        <f aca="false">"ORD-"&amp;TEXT(10000+ROW()-1,"00000")</f>
        <v>ORD-10104</v>
      </c>
      <c r="B105" s="10" t="n">
        <f aca="false">DATE(2025,1,1)+RANDBETWEEN(0,364)</f>
        <v>45842</v>
      </c>
      <c r="C105" s="2" t="str">
        <f aca="true">INDEX(RegName,MATCH(RAND(),RegCum,1))</f>
        <v>Americas</v>
      </c>
      <c r="D105" s="2" t="str">
        <f aca="true">INDEX(ModeName,MATCH(RAND(),ModeCum,1))</f>
        <v>Road</v>
      </c>
      <c r="E105" s="2" t="n">
        <f aca="true">MAX(1,ROUND(_xlfn.NORM.INV(RAND(),INDEX(ModeLT,MATCH(D105,ModeName,0)),Settings!$B$16),0))+IF(C105="Africa",Settings!$B$17,0)</f>
        <v>4</v>
      </c>
      <c r="F105" s="10" t="n">
        <f aca="false">B105+E105</f>
        <v>45846</v>
      </c>
      <c r="G105" s="10" t="n">
        <f aca="false">B105+ROUND(INDEX(ModeLT,MATCH(D105,ModeName,0)),0)+Settings!$B$18</f>
        <v>45851</v>
      </c>
      <c r="H105" s="2" t="n">
        <f aca="false">IF(F105&lt;=G105,1,0)</f>
        <v>1</v>
      </c>
      <c r="I105" s="2" t="n">
        <f aca="true">ROUND(_xlfn.LOGNORM.INV(RAND(),5.3,0.6),0)</f>
        <v>147</v>
      </c>
    </row>
    <row r="106" customFormat="false" ht="15" hidden="false" customHeight="false" outlineLevel="0" collapsed="false">
      <c r="A106" s="2" t="str">
        <f aca="false">"ORD-"&amp;TEXT(10000+ROW()-1,"00000")</f>
        <v>ORD-10105</v>
      </c>
      <c r="B106" s="10" t="n">
        <f aca="false">DATE(2025,1,1)+RANDBETWEEN(0,364)</f>
        <v>45672</v>
      </c>
      <c r="C106" s="2" t="str">
        <f aca="true">INDEX(RegName,MATCH(RAND(),RegCum,1))</f>
        <v>Europe</v>
      </c>
      <c r="D106" s="2" t="str">
        <f aca="true">INDEX(ModeName,MATCH(RAND(),ModeCum,1))</f>
        <v>Road</v>
      </c>
      <c r="E106" s="2" t="n">
        <f aca="true">MAX(1,ROUND(_xlfn.NORM.INV(RAND(),INDEX(ModeLT,MATCH(D106,ModeName,0)),Settings!$B$16),0))+IF(C106="Africa",Settings!$B$17,0)</f>
        <v>7</v>
      </c>
      <c r="F106" s="10" t="n">
        <f aca="false">B106+E106</f>
        <v>45679</v>
      </c>
      <c r="G106" s="10" t="n">
        <f aca="false">B106+ROUND(INDEX(ModeLT,MATCH(D106,ModeName,0)),0)+Settings!$B$18</f>
        <v>45681</v>
      </c>
      <c r="H106" s="2" t="n">
        <f aca="false">IF(F106&lt;=G106,1,0)</f>
        <v>1</v>
      </c>
      <c r="I106" s="2" t="n">
        <f aca="true">ROUND(_xlfn.LOGNORM.INV(RAND(),5.3,0.6),0)</f>
        <v>321</v>
      </c>
    </row>
    <row r="107" customFormat="false" ht="15" hidden="false" customHeight="false" outlineLevel="0" collapsed="false">
      <c r="A107" s="2" t="str">
        <f aca="false">"ORD-"&amp;TEXT(10000+ROW()-1,"00000")</f>
        <v>ORD-10106</v>
      </c>
      <c r="B107" s="10" t="n">
        <f aca="false">DATE(2025,1,1)+RANDBETWEEN(0,364)</f>
        <v>45787</v>
      </c>
      <c r="C107" s="2" t="str">
        <f aca="true">INDEX(RegName,MATCH(RAND(),RegCum,1))</f>
        <v>Americas</v>
      </c>
      <c r="D107" s="2" t="str">
        <f aca="true">INDEX(ModeName,MATCH(RAND(),ModeCum,1))</f>
        <v>Rail</v>
      </c>
      <c r="E107" s="2" t="n">
        <f aca="true">MAX(1,ROUND(_xlfn.NORM.INV(RAND(),INDEX(ModeLT,MATCH(D107,ModeName,0)),Settings!$B$16),0))+IF(C107="Africa",Settings!$B$17,0)</f>
        <v>8</v>
      </c>
      <c r="F107" s="10" t="n">
        <f aca="false">B107+E107</f>
        <v>45795</v>
      </c>
      <c r="G107" s="10" t="n">
        <f aca="false">B107+ROUND(INDEX(ModeLT,MATCH(D107,ModeName,0)),0)+Settings!$B$18</f>
        <v>45800</v>
      </c>
      <c r="H107" s="2" t="n">
        <f aca="false">IF(F107&lt;=G107,1,0)</f>
        <v>1</v>
      </c>
      <c r="I107" s="2" t="n">
        <f aca="true">ROUND(_xlfn.LOGNORM.INV(RAND(),5.3,0.6),0)</f>
        <v>108</v>
      </c>
    </row>
    <row r="108" customFormat="false" ht="15" hidden="false" customHeight="false" outlineLevel="0" collapsed="false">
      <c r="A108" s="2" t="str">
        <f aca="false">"ORD-"&amp;TEXT(10000+ROW()-1,"00000")</f>
        <v>ORD-10107</v>
      </c>
      <c r="B108" s="10" t="n">
        <f aca="false">DATE(2025,1,1)+RANDBETWEEN(0,364)</f>
        <v>45842</v>
      </c>
      <c r="C108" s="2" t="str">
        <f aca="true">INDEX(RegName,MATCH(RAND(),RegCum,1))</f>
        <v>Asia-Pacific</v>
      </c>
      <c r="D108" s="2" t="str">
        <f aca="true">INDEX(ModeName,MATCH(RAND(),ModeCum,1))</f>
        <v>Road</v>
      </c>
      <c r="E108" s="2" t="n">
        <f aca="true">MAX(1,ROUND(_xlfn.NORM.INV(RAND(),INDEX(ModeLT,MATCH(D108,ModeName,0)),Settings!$B$16),0))+IF(C108="Africa",Settings!$B$17,0)</f>
        <v>8</v>
      </c>
      <c r="F108" s="10" t="n">
        <f aca="false">B108+E108</f>
        <v>45850</v>
      </c>
      <c r="G108" s="10" t="n">
        <f aca="false">B108+ROUND(INDEX(ModeLT,MATCH(D108,ModeName,0)),0)+Settings!$B$18</f>
        <v>45851</v>
      </c>
      <c r="H108" s="2" t="n">
        <f aca="false">IF(F108&lt;=G108,1,0)</f>
        <v>1</v>
      </c>
      <c r="I108" s="2" t="n">
        <f aca="true">ROUND(_xlfn.LOGNORM.INV(RAND(),5.3,0.6),0)</f>
        <v>148</v>
      </c>
    </row>
    <row r="109" customFormat="false" ht="15" hidden="false" customHeight="false" outlineLevel="0" collapsed="false">
      <c r="A109" s="2" t="str">
        <f aca="false">"ORD-"&amp;TEXT(10000+ROW()-1,"00000")</f>
        <v>ORD-10108</v>
      </c>
      <c r="B109" s="10" t="n">
        <f aca="false">DATE(2025,1,1)+RANDBETWEEN(0,364)</f>
        <v>45803</v>
      </c>
      <c r="C109" s="2" t="str">
        <f aca="true">INDEX(RegName,MATCH(RAND(),RegCum,1))</f>
        <v>Africa</v>
      </c>
      <c r="D109" s="2" t="str">
        <f aca="true">INDEX(ModeName,MATCH(RAND(),ModeCum,1))</f>
        <v>Road</v>
      </c>
      <c r="E109" s="2" t="n">
        <f aca="true">MAX(1,ROUND(_xlfn.NORM.INV(RAND(),INDEX(ModeLT,MATCH(D109,ModeName,0)),Settings!$B$16),0))+IF(C109="Africa",Settings!$B$17,0)</f>
        <v>7</v>
      </c>
      <c r="F109" s="10" t="n">
        <f aca="false">B109+E109</f>
        <v>45810</v>
      </c>
      <c r="G109" s="10" t="n">
        <f aca="false">B109+ROUND(INDEX(ModeLT,MATCH(D109,ModeName,0)),0)+Settings!$B$18</f>
        <v>45812</v>
      </c>
      <c r="H109" s="2" t="n">
        <f aca="false">IF(F109&lt;=G109,1,0)</f>
        <v>1</v>
      </c>
      <c r="I109" s="2" t="n">
        <f aca="true">ROUND(_xlfn.LOGNORM.INV(RAND(),5.3,0.6),0)</f>
        <v>179</v>
      </c>
    </row>
    <row r="110" customFormat="false" ht="15" hidden="false" customHeight="false" outlineLevel="0" collapsed="false">
      <c r="A110" s="2" t="str">
        <f aca="false">"ORD-"&amp;TEXT(10000+ROW()-1,"00000")</f>
        <v>ORD-10109</v>
      </c>
      <c r="B110" s="10" t="n">
        <f aca="false">DATE(2025,1,1)+RANDBETWEEN(0,364)</f>
        <v>45877</v>
      </c>
      <c r="C110" s="2" t="str">
        <f aca="true">INDEX(RegName,MATCH(RAND(),RegCum,1))</f>
        <v>Asia-Pacific</v>
      </c>
      <c r="D110" s="2" t="str">
        <f aca="true">INDEX(ModeName,MATCH(RAND(),ModeCum,1))</f>
        <v>Road</v>
      </c>
      <c r="E110" s="2" t="n">
        <f aca="true">MAX(1,ROUND(_xlfn.NORM.INV(RAND(),INDEX(ModeLT,MATCH(D110,ModeName,0)),Settings!$B$16),0))+IF(C110="Africa",Settings!$B$17,0)</f>
        <v>8</v>
      </c>
      <c r="F110" s="10" t="n">
        <f aca="false">B110+E110</f>
        <v>45885</v>
      </c>
      <c r="G110" s="10" t="n">
        <f aca="false">B110+ROUND(INDEX(ModeLT,MATCH(D110,ModeName,0)),0)+Settings!$B$18</f>
        <v>45886</v>
      </c>
      <c r="H110" s="2" t="n">
        <f aca="false">IF(F110&lt;=G110,1,0)</f>
        <v>1</v>
      </c>
      <c r="I110" s="2" t="n">
        <f aca="true">ROUND(_xlfn.LOGNORM.INV(RAND(),5.3,0.6),0)</f>
        <v>289</v>
      </c>
    </row>
    <row r="111" customFormat="false" ht="15" hidden="false" customHeight="false" outlineLevel="0" collapsed="false">
      <c r="A111" s="2" t="str">
        <f aca="false">"ORD-"&amp;TEXT(10000+ROW()-1,"00000")</f>
        <v>ORD-10110</v>
      </c>
      <c r="B111" s="10" t="n">
        <f aca="false">DATE(2025,1,1)+RANDBETWEEN(0,364)</f>
        <v>45953</v>
      </c>
      <c r="C111" s="2" t="str">
        <f aca="true">INDEX(RegName,MATCH(RAND(),RegCum,1))</f>
        <v>Europe</v>
      </c>
      <c r="D111" s="2" t="str">
        <f aca="true">INDEX(ModeName,MATCH(RAND(),ModeCum,1))</f>
        <v>Road</v>
      </c>
      <c r="E111" s="2" t="n">
        <f aca="true">MAX(1,ROUND(_xlfn.NORM.INV(RAND(),INDEX(ModeLT,MATCH(D111,ModeName,0)),Settings!$B$16),0))+IF(C111="Africa",Settings!$B$17,0)</f>
        <v>7</v>
      </c>
      <c r="F111" s="10" t="n">
        <f aca="false">B111+E111</f>
        <v>45960</v>
      </c>
      <c r="G111" s="10" t="n">
        <f aca="false">B111+ROUND(INDEX(ModeLT,MATCH(D111,ModeName,0)),0)+Settings!$B$18</f>
        <v>45962</v>
      </c>
      <c r="H111" s="2" t="n">
        <f aca="false">IF(F111&lt;=G111,1,0)</f>
        <v>1</v>
      </c>
      <c r="I111" s="2" t="n">
        <f aca="true">ROUND(_xlfn.LOGNORM.INV(RAND(),5.3,0.6),0)</f>
        <v>246</v>
      </c>
    </row>
    <row r="112" customFormat="false" ht="15" hidden="false" customHeight="false" outlineLevel="0" collapsed="false">
      <c r="A112" s="2" t="str">
        <f aca="false">"ORD-"&amp;TEXT(10000+ROW()-1,"00000")</f>
        <v>ORD-10111</v>
      </c>
      <c r="B112" s="10" t="n">
        <f aca="false">DATE(2025,1,1)+RANDBETWEEN(0,364)</f>
        <v>45715</v>
      </c>
      <c r="C112" s="2" t="str">
        <f aca="true">INDEX(RegName,MATCH(RAND(),RegCum,1))</f>
        <v>Africa</v>
      </c>
      <c r="D112" s="2" t="str">
        <f aca="true">INDEX(ModeName,MATCH(RAND(),ModeCum,1))</f>
        <v>Sea</v>
      </c>
      <c r="E112" s="2" t="n">
        <f aca="true">MAX(1,ROUND(_xlfn.NORM.INV(RAND(),INDEX(ModeLT,MATCH(D112,ModeName,0)),Settings!$B$16),0))+IF(C112="Africa",Settings!$B$17,0)</f>
        <v>21</v>
      </c>
      <c r="F112" s="10" t="n">
        <f aca="false">B112+E112</f>
        <v>45736</v>
      </c>
      <c r="G112" s="10" t="n">
        <f aca="false">B112+ROUND(INDEX(ModeLT,MATCH(D112,ModeName,0)),0)+Settings!$B$18</f>
        <v>45738</v>
      </c>
      <c r="H112" s="2" t="n">
        <f aca="false">IF(F112&lt;=G112,1,0)</f>
        <v>1</v>
      </c>
      <c r="I112" s="2" t="n">
        <f aca="true">ROUND(_xlfn.LOGNORM.INV(RAND(),5.3,0.6),0)</f>
        <v>448</v>
      </c>
    </row>
    <row r="113" customFormat="false" ht="15" hidden="false" customHeight="false" outlineLevel="0" collapsed="false">
      <c r="A113" s="2" t="str">
        <f aca="false">"ORD-"&amp;TEXT(10000+ROW()-1,"00000")</f>
        <v>ORD-10112</v>
      </c>
      <c r="B113" s="10" t="n">
        <f aca="false">DATE(2025,1,1)+RANDBETWEEN(0,364)</f>
        <v>45685</v>
      </c>
      <c r="C113" s="2" t="str">
        <f aca="true">INDEX(RegName,MATCH(RAND(),RegCum,1))</f>
        <v>Africa</v>
      </c>
      <c r="D113" s="2" t="str">
        <f aca="true">INDEX(ModeName,MATCH(RAND(),ModeCum,1))</f>
        <v>Air</v>
      </c>
      <c r="E113" s="2" t="n">
        <f aca="true">MAX(1,ROUND(_xlfn.NORM.INV(RAND(),INDEX(ModeLT,MATCH(D113,ModeName,0)),Settings!$B$16),0))+IF(C113="Africa",Settings!$B$17,0)</f>
        <v>7</v>
      </c>
      <c r="F113" s="10" t="n">
        <f aca="false">B113+E113</f>
        <v>45692</v>
      </c>
      <c r="G113" s="10" t="n">
        <f aca="false">B113+ROUND(INDEX(ModeLT,MATCH(D113,ModeName,0)),0)+Settings!$B$18</f>
        <v>45692</v>
      </c>
      <c r="H113" s="2" t="n">
        <f aca="false">IF(F113&lt;=G113,1,0)</f>
        <v>1</v>
      </c>
      <c r="I113" s="2" t="n">
        <f aca="true">ROUND(_xlfn.LOGNORM.INV(RAND(),5.3,0.6),0)</f>
        <v>93</v>
      </c>
    </row>
    <row r="114" customFormat="false" ht="15" hidden="false" customHeight="false" outlineLevel="0" collapsed="false">
      <c r="A114" s="2" t="str">
        <f aca="false">"ORD-"&amp;TEXT(10000+ROW()-1,"00000")</f>
        <v>ORD-10113</v>
      </c>
      <c r="B114" s="10" t="n">
        <f aca="false">DATE(2025,1,1)+RANDBETWEEN(0,364)</f>
        <v>45992</v>
      </c>
      <c r="C114" s="2" t="str">
        <f aca="true">INDEX(RegName,MATCH(RAND(),RegCum,1))</f>
        <v>Asia-Pacific</v>
      </c>
      <c r="D114" s="2" t="str">
        <f aca="true">INDEX(ModeName,MATCH(RAND(),ModeCum,1))</f>
        <v>Sea</v>
      </c>
      <c r="E114" s="2" t="n">
        <f aca="true">MAX(1,ROUND(_xlfn.NORM.INV(RAND(),INDEX(ModeLT,MATCH(D114,ModeName,0)),Settings!$B$16),0))+IF(C114="Africa",Settings!$B$17,0)</f>
        <v>22</v>
      </c>
      <c r="F114" s="10" t="n">
        <f aca="false">B114+E114</f>
        <v>46014</v>
      </c>
      <c r="G114" s="10" t="n">
        <f aca="false">B114+ROUND(INDEX(ModeLT,MATCH(D114,ModeName,0)),0)+Settings!$B$18</f>
        <v>46015</v>
      </c>
      <c r="H114" s="2" t="n">
        <f aca="false">IF(F114&lt;=G114,1,0)</f>
        <v>1</v>
      </c>
      <c r="I114" s="2" t="n">
        <f aca="true">ROUND(_xlfn.LOGNORM.INV(RAND(),5.3,0.6),0)</f>
        <v>105</v>
      </c>
    </row>
    <row r="115" customFormat="false" ht="15" hidden="false" customHeight="false" outlineLevel="0" collapsed="false">
      <c r="A115" s="2" t="str">
        <f aca="false">"ORD-"&amp;TEXT(10000+ROW()-1,"00000")</f>
        <v>ORD-10114</v>
      </c>
      <c r="B115" s="10" t="n">
        <f aca="false">DATE(2025,1,1)+RANDBETWEEN(0,364)</f>
        <v>45948</v>
      </c>
      <c r="C115" s="2" t="str">
        <f aca="true">INDEX(RegName,MATCH(RAND(),RegCum,1))</f>
        <v>Americas</v>
      </c>
      <c r="D115" s="2" t="str">
        <f aca="true">INDEX(ModeName,MATCH(RAND(),ModeCum,1))</f>
        <v>Air</v>
      </c>
      <c r="E115" s="2" t="n">
        <f aca="true">MAX(1,ROUND(_xlfn.NORM.INV(RAND(),INDEX(ModeLT,MATCH(D115,ModeName,0)),Settings!$B$16),0))+IF(C115="Africa",Settings!$B$17,0)</f>
        <v>2</v>
      </c>
      <c r="F115" s="10" t="n">
        <f aca="false">B115+E115</f>
        <v>45950</v>
      </c>
      <c r="G115" s="10" t="n">
        <f aca="false">B115+ROUND(INDEX(ModeLT,MATCH(D115,ModeName,0)),0)+Settings!$B$18</f>
        <v>45955</v>
      </c>
      <c r="H115" s="2" t="n">
        <f aca="false">IF(F115&lt;=G115,1,0)</f>
        <v>1</v>
      </c>
      <c r="I115" s="2" t="n">
        <f aca="true">ROUND(_xlfn.LOGNORM.INV(RAND(),5.3,0.6),0)</f>
        <v>215</v>
      </c>
    </row>
    <row r="116" customFormat="false" ht="15" hidden="false" customHeight="false" outlineLevel="0" collapsed="false">
      <c r="A116" s="2" t="str">
        <f aca="false">"ORD-"&amp;TEXT(10000+ROW()-1,"00000")</f>
        <v>ORD-10115</v>
      </c>
      <c r="B116" s="10" t="n">
        <f aca="false">DATE(2025,1,1)+RANDBETWEEN(0,364)</f>
        <v>45989</v>
      </c>
      <c r="C116" s="2" t="str">
        <f aca="true">INDEX(RegName,MATCH(RAND(),RegCum,1))</f>
        <v>Americas</v>
      </c>
      <c r="D116" s="2" t="str">
        <f aca="true">INDEX(ModeName,MATCH(RAND(),ModeCum,1))</f>
        <v>Road</v>
      </c>
      <c r="E116" s="2" t="n">
        <f aca="true">MAX(1,ROUND(_xlfn.NORM.INV(RAND(),INDEX(ModeLT,MATCH(D116,ModeName,0)),Settings!$B$16),0))+IF(C116="Africa",Settings!$B$17,0)</f>
        <v>7</v>
      </c>
      <c r="F116" s="10" t="n">
        <f aca="false">B116+E116</f>
        <v>45996</v>
      </c>
      <c r="G116" s="10" t="n">
        <f aca="false">B116+ROUND(INDEX(ModeLT,MATCH(D116,ModeName,0)),0)+Settings!$B$18</f>
        <v>45998</v>
      </c>
      <c r="H116" s="2" t="n">
        <f aca="false">IF(F116&lt;=G116,1,0)</f>
        <v>1</v>
      </c>
      <c r="I116" s="2" t="n">
        <f aca="true">ROUND(_xlfn.LOGNORM.INV(RAND(),5.3,0.6),0)</f>
        <v>73</v>
      </c>
    </row>
    <row r="117" customFormat="false" ht="15" hidden="false" customHeight="false" outlineLevel="0" collapsed="false">
      <c r="A117" s="2" t="str">
        <f aca="false">"ORD-"&amp;TEXT(10000+ROW()-1,"00000")</f>
        <v>ORD-10116</v>
      </c>
      <c r="B117" s="10" t="n">
        <f aca="false">DATE(2025,1,1)+RANDBETWEEN(0,364)</f>
        <v>45960</v>
      </c>
      <c r="C117" s="2" t="str">
        <f aca="true">INDEX(RegName,MATCH(RAND(),RegCum,1))</f>
        <v>Europe</v>
      </c>
      <c r="D117" s="2" t="str">
        <f aca="true">INDEX(ModeName,MATCH(RAND(),ModeCum,1))</f>
        <v>Road</v>
      </c>
      <c r="E117" s="2" t="n">
        <f aca="true">MAX(1,ROUND(_xlfn.NORM.INV(RAND(),INDEX(ModeLT,MATCH(D117,ModeName,0)),Settings!$B$16),0))+IF(C117="Africa",Settings!$B$17,0)</f>
        <v>8</v>
      </c>
      <c r="F117" s="10" t="n">
        <f aca="false">B117+E117</f>
        <v>45968</v>
      </c>
      <c r="G117" s="10" t="n">
        <f aca="false">B117+ROUND(INDEX(ModeLT,MATCH(D117,ModeName,0)),0)+Settings!$B$18</f>
        <v>45969</v>
      </c>
      <c r="H117" s="2" t="n">
        <f aca="false">IF(F117&lt;=G117,1,0)</f>
        <v>1</v>
      </c>
      <c r="I117" s="2" t="n">
        <f aca="true">ROUND(_xlfn.LOGNORM.INV(RAND(),5.3,0.6),0)</f>
        <v>208</v>
      </c>
    </row>
    <row r="118" customFormat="false" ht="15" hidden="false" customHeight="false" outlineLevel="0" collapsed="false">
      <c r="A118" s="2" t="str">
        <f aca="false">"ORD-"&amp;TEXT(10000+ROW()-1,"00000")</f>
        <v>ORD-10117</v>
      </c>
      <c r="B118" s="10" t="n">
        <f aca="false">DATE(2025,1,1)+RANDBETWEEN(0,364)</f>
        <v>45704</v>
      </c>
      <c r="C118" s="2" t="str">
        <f aca="true">INDEX(RegName,MATCH(RAND(),RegCum,1))</f>
        <v>Asia-Pacific</v>
      </c>
      <c r="D118" s="2" t="str">
        <f aca="true">INDEX(ModeName,MATCH(RAND(),ModeCum,1))</f>
        <v>Road</v>
      </c>
      <c r="E118" s="2" t="n">
        <f aca="true">MAX(1,ROUND(_xlfn.NORM.INV(RAND(),INDEX(ModeLT,MATCH(D118,ModeName,0)),Settings!$B$16),0))+IF(C118="Africa",Settings!$B$17,0)</f>
        <v>8</v>
      </c>
      <c r="F118" s="10" t="n">
        <f aca="false">B118+E118</f>
        <v>45712</v>
      </c>
      <c r="G118" s="10" t="n">
        <f aca="false">B118+ROUND(INDEX(ModeLT,MATCH(D118,ModeName,0)),0)+Settings!$B$18</f>
        <v>45713</v>
      </c>
      <c r="H118" s="2" t="n">
        <f aca="false">IF(F118&lt;=G118,1,0)</f>
        <v>1</v>
      </c>
      <c r="I118" s="2" t="n">
        <f aca="true">ROUND(_xlfn.LOGNORM.INV(RAND(),5.3,0.6),0)</f>
        <v>148</v>
      </c>
    </row>
    <row r="119" customFormat="false" ht="15" hidden="false" customHeight="false" outlineLevel="0" collapsed="false">
      <c r="A119" s="2" t="str">
        <f aca="false">"ORD-"&amp;TEXT(10000+ROW()-1,"00000")</f>
        <v>ORD-10118</v>
      </c>
      <c r="B119" s="10" t="n">
        <f aca="false">DATE(2025,1,1)+RANDBETWEEN(0,364)</f>
        <v>45901</v>
      </c>
      <c r="C119" s="2" t="str">
        <f aca="true">INDEX(RegName,MATCH(RAND(),RegCum,1))</f>
        <v>Europe</v>
      </c>
      <c r="D119" s="2" t="str">
        <f aca="true">INDEX(ModeName,MATCH(RAND(),ModeCum,1))</f>
        <v>Sea</v>
      </c>
      <c r="E119" s="2" t="n">
        <f aca="true">MAX(1,ROUND(_xlfn.NORM.INV(RAND(),INDEX(ModeLT,MATCH(D119,ModeName,0)),Settings!$B$16),0))+IF(C119="Africa",Settings!$B$17,0)</f>
        <v>20</v>
      </c>
      <c r="F119" s="10" t="n">
        <f aca="false">B119+E119</f>
        <v>45921</v>
      </c>
      <c r="G119" s="10" t="n">
        <f aca="false">B119+ROUND(INDEX(ModeLT,MATCH(D119,ModeName,0)),0)+Settings!$B$18</f>
        <v>45924</v>
      </c>
      <c r="H119" s="2" t="n">
        <f aca="false">IF(F119&lt;=G119,1,0)</f>
        <v>1</v>
      </c>
      <c r="I119" s="2" t="n">
        <f aca="true">ROUND(_xlfn.LOGNORM.INV(RAND(),5.3,0.6),0)</f>
        <v>445</v>
      </c>
    </row>
    <row r="120" customFormat="false" ht="15" hidden="false" customHeight="false" outlineLevel="0" collapsed="false">
      <c r="A120" s="2" t="str">
        <f aca="false">"ORD-"&amp;TEXT(10000+ROW()-1,"00000")</f>
        <v>ORD-10119</v>
      </c>
      <c r="B120" s="10" t="n">
        <f aca="false">DATE(2025,1,1)+RANDBETWEEN(0,364)</f>
        <v>46021</v>
      </c>
      <c r="C120" s="2" t="str">
        <f aca="true">INDEX(RegName,MATCH(RAND(),RegCum,1))</f>
        <v>Asia-Pacific</v>
      </c>
      <c r="D120" s="2" t="str">
        <f aca="true">INDEX(ModeName,MATCH(RAND(),ModeCum,1))</f>
        <v>Rail</v>
      </c>
      <c r="E120" s="2" t="n">
        <f aca="true">MAX(1,ROUND(_xlfn.NORM.INV(RAND(),INDEX(ModeLT,MATCH(D120,ModeName,0)),Settings!$B$16),0))+IF(C120="Africa",Settings!$B$17,0)</f>
        <v>10</v>
      </c>
      <c r="F120" s="10" t="n">
        <f aca="false">B120+E120</f>
        <v>46031</v>
      </c>
      <c r="G120" s="10" t="n">
        <f aca="false">B120+ROUND(INDEX(ModeLT,MATCH(D120,ModeName,0)),0)+Settings!$B$18</f>
        <v>46034</v>
      </c>
      <c r="H120" s="2" t="n">
        <f aca="false">IF(F120&lt;=G120,1,0)</f>
        <v>1</v>
      </c>
      <c r="I120" s="2" t="n">
        <f aca="true">ROUND(_xlfn.LOGNORM.INV(RAND(),5.3,0.6),0)</f>
        <v>163</v>
      </c>
    </row>
    <row r="121" customFormat="false" ht="15" hidden="false" customHeight="false" outlineLevel="0" collapsed="false">
      <c r="A121" s="2" t="str">
        <f aca="false">"ORD-"&amp;TEXT(10000+ROW()-1,"00000")</f>
        <v>ORD-10120</v>
      </c>
      <c r="B121" s="10" t="n">
        <f aca="false">DATE(2025,1,1)+RANDBETWEEN(0,364)</f>
        <v>45843</v>
      </c>
      <c r="C121" s="2" t="str">
        <f aca="true">INDEX(RegName,MATCH(RAND(),RegCum,1))</f>
        <v>Asia-Pacific</v>
      </c>
      <c r="D121" s="2" t="str">
        <f aca="true">INDEX(ModeName,MATCH(RAND(),ModeCum,1))</f>
        <v>Sea</v>
      </c>
      <c r="E121" s="2" t="n">
        <f aca="true">MAX(1,ROUND(_xlfn.NORM.INV(RAND(),INDEX(ModeLT,MATCH(D121,ModeName,0)),Settings!$B$16),0))+IF(C121="Africa",Settings!$B$17,0)</f>
        <v>20</v>
      </c>
      <c r="F121" s="10" t="n">
        <f aca="false">B121+E121</f>
        <v>45863</v>
      </c>
      <c r="G121" s="10" t="n">
        <f aca="false">B121+ROUND(INDEX(ModeLT,MATCH(D121,ModeName,0)),0)+Settings!$B$18</f>
        <v>45866</v>
      </c>
      <c r="H121" s="2" t="n">
        <f aca="false">IF(F121&lt;=G121,1,0)</f>
        <v>1</v>
      </c>
      <c r="I121" s="2" t="n">
        <f aca="true">ROUND(_xlfn.LOGNORM.INV(RAND(),5.3,0.6),0)</f>
        <v>185</v>
      </c>
    </row>
    <row r="122" customFormat="false" ht="15" hidden="false" customHeight="false" outlineLevel="0" collapsed="false">
      <c r="A122" s="2" t="str">
        <f aca="false">"ORD-"&amp;TEXT(10000+ROW()-1,"00000")</f>
        <v>ORD-10121</v>
      </c>
      <c r="B122" s="10" t="n">
        <f aca="false">DATE(2025,1,1)+RANDBETWEEN(0,364)</f>
        <v>45921</v>
      </c>
      <c r="C122" s="2" t="str">
        <f aca="true">INDEX(RegName,MATCH(RAND(),RegCum,1))</f>
        <v>Middle East</v>
      </c>
      <c r="D122" s="2" t="str">
        <f aca="true">INDEX(ModeName,MATCH(RAND(),ModeCum,1))</f>
        <v>Road</v>
      </c>
      <c r="E122" s="2" t="n">
        <f aca="true">MAX(1,ROUND(_xlfn.NORM.INV(RAND(),INDEX(ModeLT,MATCH(D122,ModeName,0)),Settings!$B$16),0))+IF(C122="Africa",Settings!$B$17,0)</f>
        <v>6</v>
      </c>
      <c r="F122" s="10" t="n">
        <f aca="false">B122+E122</f>
        <v>45927</v>
      </c>
      <c r="G122" s="10" t="n">
        <f aca="false">B122+ROUND(INDEX(ModeLT,MATCH(D122,ModeName,0)),0)+Settings!$B$18</f>
        <v>45930</v>
      </c>
      <c r="H122" s="2" t="n">
        <f aca="false">IF(F122&lt;=G122,1,0)</f>
        <v>1</v>
      </c>
      <c r="I122" s="2" t="n">
        <f aca="true">ROUND(_xlfn.LOGNORM.INV(RAND(),5.3,0.6),0)</f>
        <v>485</v>
      </c>
    </row>
    <row r="123" customFormat="false" ht="15" hidden="false" customHeight="false" outlineLevel="0" collapsed="false">
      <c r="A123" s="2" t="str">
        <f aca="false">"ORD-"&amp;TEXT(10000+ROW()-1,"00000")</f>
        <v>ORD-10122</v>
      </c>
      <c r="B123" s="10" t="n">
        <f aca="false">DATE(2025,1,1)+RANDBETWEEN(0,364)</f>
        <v>45923</v>
      </c>
      <c r="C123" s="2" t="str">
        <f aca="true">INDEX(RegName,MATCH(RAND(),RegCum,1))</f>
        <v>Africa</v>
      </c>
      <c r="D123" s="2" t="str">
        <f aca="true">INDEX(ModeName,MATCH(RAND(),ModeCum,1))</f>
        <v>Road</v>
      </c>
      <c r="E123" s="2" t="n">
        <f aca="true">MAX(1,ROUND(_xlfn.NORM.INV(RAND(),INDEX(ModeLT,MATCH(D123,ModeName,0)),Settings!$B$16),0))+IF(C123="Africa",Settings!$B$17,0)</f>
        <v>6</v>
      </c>
      <c r="F123" s="10" t="n">
        <f aca="false">B123+E123</f>
        <v>45929</v>
      </c>
      <c r="G123" s="10" t="n">
        <f aca="false">B123+ROUND(INDEX(ModeLT,MATCH(D123,ModeName,0)),0)+Settings!$B$18</f>
        <v>45932</v>
      </c>
      <c r="H123" s="2" t="n">
        <f aca="false">IF(F123&lt;=G123,1,0)</f>
        <v>1</v>
      </c>
      <c r="I123" s="2" t="n">
        <f aca="true">ROUND(_xlfn.LOGNORM.INV(RAND(),5.3,0.6),0)</f>
        <v>179</v>
      </c>
    </row>
    <row r="124" customFormat="false" ht="15" hidden="false" customHeight="false" outlineLevel="0" collapsed="false">
      <c r="A124" s="2" t="str">
        <f aca="false">"ORD-"&amp;TEXT(10000+ROW()-1,"00000")</f>
        <v>ORD-10123</v>
      </c>
      <c r="B124" s="10" t="n">
        <f aca="false">DATE(2025,1,1)+RANDBETWEEN(0,364)</f>
        <v>45773</v>
      </c>
      <c r="C124" s="2" t="str">
        <f aca="true">INDEX(RegName,MATCH(RAND(),RegCum,1))</f>
        <v>Americas</v>
      </c>
      <c r="D124" s="2" t="str">
        <f aca="true">INDEX(ModeName,MATCH(RAND(),ModeCum,1))</f>
        <v>Road</v>
      </c>
      <c r="E124" s="2" t="n">
        <f aca="true">MAX(1,ROUND(_xlfn.NORM.INV(RAND(),INDEX(ModeLT,MATCH(D124,ModeName,0)),Settings!$B$16),0))+IF(C124="Africa",Settings!$B$17,0)</f>
        <v>8</v>
      </c>
      <c r="F124" s="10" t="n">
        <f aca="false">B124+E124</f>
        <v>45781</v>
      </c>
      <c r="G124" s="10" t="n">
        <f aca="false">B124+ROUND(INDEX(ModeLT,MATCH(D124,ModeName,0)),0)+Settings!$B$18</f>
        <v>45782</v>
      </c>
      <c r="H124" s="2" t="n">
        <f aca="false">IF(F124&lt;=G124,1,0)</f>
        <v>1</v>
      </c>
      <c r="I124" s="2" t="n">
        <f aca="true">ROUND(_xlfn.LOGNORM.INV(RAND(),5.3,0.6),0)</f>
        <v>154</v>
      </c>
    </row>
    <row r="125" customFormat="false" ht="15" hidden="false" customHeight="false" outlineLevel="0" collapsed="false">
      <c r="A125" s="2" t="str">
        <f aca="false">"ORD-"&amp;TEXT(10000+ROW()-1,"00000")</f>
        <v>ORD-10124</v>
      </c>
      <c r="B125" s="10" t="n">
        <f aca="false">DATE(2025,1,1)+RANDBETWEEN(0,364)</f>
        <v>46021</v>
      </c>
      <c r="C125" s="2" t="str">
        <f aca="true">INDEX(RegName,MATCH(RAND(),RegCum,1))</f>
        <v>Europe</v>
      </c>
      <c r="D125" s="2" t="str">
        <f aca="true">INDEX(ModeName,MATCH(RAND(),ModeCum,1))</f>
        <v>Sea</v>
      </c>
      <c r="E125" s="2" t="n">
        <f aca="true">MAX(1,ROUND(_xlfn.NORM.INV(RAND(),INDEX(ModeLT,MATCH(D125,ModeName,0)),Settings!$B$16),0))+IF(C125="Africa",Settings!$B$17,0)</f>
        <v>21</v>
      </c>
      <c r="F125" s="10" t="n">
        <f aca="false">B125+E125</f>
        <v>46042</v>
      </c>
      <c r="G125" s="10" t="n">
        <f aca="false">B125+ROUND(INDEX(ModeLT,MATCH(D125,ModeName,0)),0)+Settings!$B$18</f>
        <v>46044</v>
      </c>
      <c r="H125" s="2" t="n">
        <f aca="false">IF(F125&lt;=G125,1,0)</f>
        <v>1</v>
      </c>
      <c r="I125" s="2" t="n">
        <f aca="true">ROUND(_xlfn.LOGNORM.INV(RAND(),5.3,0.6),0)</f>
        <v>162</v>
      </c>
    </row>
    <row r="126" customFormat="false" ht="15" hidden="false" customHeight="false" outlineLevel="0" collapsed="false">
      <c r="A126" s="2" t="str">
        <f aca="false">"ORD-"&amp;TEXT(10000+ROW()-1,"00000")</f>
        <v>ORD-10125</v>
      </c>
      <c r="B126" s="10" t="n">
        <f aca="false">DATE(2025,1,1)+RANDBETWEEN(0,364)</f>
        <v>45826</v>
      </c>
      <c r="C126" s="2" t="str">
        <f aca="true">INDEX(RegName,MATCH(RAND(),RegCum,1))</f>
        <v>Asia-Pacific</v>
      </c>
      <c r="D126" s="2" t="str">
        <f aca="true">INDEX(ModeName,MATCH(RAND(),ModeCum,1))</f>
        <v>Road</v>
      </c>
      <c r="E126" s="2" t="n">
        <f aca="true">MAX(1,ROUND(_xlfn.NORM.INV(RAND(),INDEX(ModeLT,MATCH(D126,ModeName,0)),Settings!$B$16),0))+IF(C126="Africa",Settings!$B$17,0)</f>
        <v>6</v>
      </c>
      <c r="F126" s="10" t="n">
        <f aca="false">B126+E126</f>
        <v>45832</v>
      </c>
      <c r="G126" s="10" t="n">
        <f aca="false">B126+ROUND(INDEX(ModeLT,MATCH(D126,ModeName,0)),0)+Settings!$B$18</f>
        <v>45835</v>
      </c>
      <c r="H126" s="2" t="n">
        <f aca="false">IF(F126&lt;=G126,1,0)</f>
        <v>1</v>
      </c>
      <c r="I126" s="2" t="n">
        <f aca="true">ROUND(_xlfn.LOGNORM.INV(RAND(),5.3,0.6),0)</f>
        <v>174</v>
      </c>
    </row>
    <row r="127" customFormat="false" ht="15" hidden="false" customHeight="false" outlineLevel="0" collapsed="false">
      <c r="A127" s="2" t="str">
        <f aca="false">"ORD-"&amp;TEXT(10000+ROW()-1,"00000")</f>
        <v>ORD-10126</v>
      </c>
      <c r="B127" s="10" t="n">
        <f aca="false">DATE(2025,1,1)+RANDBETWEEN(0,364)</f>
        <v>45722</v>
      </c>
      <c r="C127" s="2" t="str">
        <f aca="true">INDEX(RegName,MATCH(RAND(),RegCum,1))</f>
        <v>Americas</v>
      </c>
      <c r="D127" s="2" t="str">
        <f aca="true">INDEX(ModeName,MATCH(RAND(),ModeCum,1))</f>
        <v>Road</v>
      </c>
      <c r="E127" s="2" t="n">
        <f aca="true">MAX(1,ROUND(_xlfn.NORM.INV(RAND(),INDEX(ModeLT,MATCH(D127,ModeName,0)),Settings!$B$16),0))+IF(C127="Africa",Settings!$B$17,0)</f>
        <v>8</v>
      </c>
      <c r="F127" s="10" t="n">
        <f aca="false">B127+E127</f>
        <v>45730</v>
      </c>
      <c r="G127" s="10" t="n">
        <f aca="false">B127+ROUND(INDEX(ModeLT,MATCH(D127,ModeName,0)),0)+Settings!$B$18</f>
        <v>45731</v>
      </c>
      <c r="H127" s="2" t="n">
        <f aca="false">IF(F127&lt;=G127,1,0)</f>
        <v>1</v>
      </c>
      <c r="I127" s="2" t="n">
        <f aca="true">ROUND(_xlfn.LOGNORM.INV(RAND(),5.3,0.6),0)</f>
        <v>399</v>
      </c>
    </row>
    <row r="128" customFormat="false" ht="15" hidden="false" customHeight="false" outlineLevel="0" collapsed="false">
      <c r="A128" s="2" t="str">
        <f aca="false">"ORD-"&amp;TEXT(10000+ROW()-1,"00000")</f>
        <v>ORD-10127</v>
      </c>
      <c r="B128" s="10" t="n">
        <f aca="false">DATE(2025,1,1)+RANDBETWEEN(0,364)</f>
        <v>45792</v>
      </c>
      <c r="C128" s="2" t="str">
        <f aca="true">INDEX(RegName,MATCH(RAND(),RegCum,1))</f>
        <v>Europe</v>
      </c>
      <c r="D128" s="2" t="str">
        <f aca="true">INDEX(ModeName,MATCH(RAND(),ModeCum,1))</f>
        <v>Air</v>
      </c>
      <c r="E128" s="2" t="n">
        <f aca="true">MAX(1,ROUND(_xlfn.NORM.INV(RAND(),INDEX(ModeLT,MATCH(D128,ModeName,0)),Settings!$B$16),0))+IF(C128="Africa",Settings!$B$17,0)</f>
        <v>6</v>
      </c>
      <c r="F128" s="10" t="n">
        <f aca="false">B128+E128</f>
        <v>45798</v>
      </c>
      <c r="G128" s="10" t="n">
        <f aca="false">B128+ROUND(INDEX(ModeLT,MATCH(D128,ModeName,0)),0)+Settings!$B$18</f>
        <v>45799</v>
      </c>
      <c r="H128" s="2" t="n">
        <f aca="false">IF(F128&lt;=G128,1,0)</f>
        <v>1</v>
      </c>
      <c r="I128" s="2" t="n">
        <f aca="true">ROUND(_xlfn.LOGNORM.INV(RAND(),5.3,0.6),0)</f>
        <v>43</v>
      </c>
    </row>
    <row r="129" customFormat="false" ht="15" hidden="false" customHeight="false" outlineLevel="0" collapsed="false">
      <c r="A129" s="2" t="str">
        <f aca="false">"ORD-"&amp;TEXT(10000+ROW()-1,"00000")</f>
        <v>ORD-10128</v>
      </c>
      <c r="B129" s="10" t="n">
        <f aca="false">DATE(2025,1,1)+RANDBETWEEN(0,364)</f>
        <v>45691</v>
      </c>
      <c r="C129" s="2" t="str">
        <f aca="true">INDEX(RegName,MATCH(RAND(),RegCum,1))</f>
        <v>Americas</v>
      </c>
      <c r="D129" s="2" t="str">
        <f aca="true">INDEX(ModeName,MATCH(RAND(),ModeCum,1))</f>
        <v>Road</v>
      </c>
      <c r="E129" s="2" t="n">
        <f aca="true">MAX(1,ROUND(_xlfn.NORM.INV(RAND(),INDEX(ModeLT,MATCH(D129,ModeName,0)),Settings!$B$16),0))+IF(C129="Africa",Settings!$B$17,0)</f>
        <v>5</v>
      </c>
      <c r="F129" s="10" t="n">
        <f aca="false">B129+E129</f>
        <v>45696</v>
      </c>
      <c r="G129" s="10" t="n">
        <f aca="false">B129+ROUND(INDEX(ModeLT,MATCH(D129,ModeName,0)),0)+Settings!$B$18</f>
        <v>45700</v>
      </c>
      <c r="H129" s="2" t="n">
        <f aca="false">IF(F129&lt;=G129,1,0)</f>
        <v>1</v>
      </c>
      <c r="I129" s="2" t="n">
        <f aca="true">ROUND(_xlfn.LOGNORM.INV(RAND(),5.3,0.6),0)</f>
        <v>351</v>
      </c>
    </row>
    <row r="130" customFormat="false" ht="15" hidden="false" customHeight="false" outlineLevel="0" collapsed="false">
      <c r="A130" s="2" t="str">
        <f aca="false">"ORD-"&amp;TEXT(10000+ROW()-1,"00000")</f>
        <v>ORD-10129</v>
      </c>
      <c r="B130" s="10" t="n">
        <f aca="false">DATE(2025,1,1)+RANDBETWEEN(0,364)</f>
        <v>45854</v>
      </c>
      <c r="C130" s="2" t="str">
        <f aca="true">INDEX(RegName,MATCH(RAND(),RegCum,1))</f>
        <v>Asia-Pacific</v>
      </c>
      <c r="D130" s="2" t="str">
        <f aca="true">INDEX(ModeName,MATCH(RAND(),ModeCum,1))</f>
        <v>Sea</v>
      </c>
      <c r="E130" s="2" t="n">
        <f aca="true">MAX(1,ROUND(_xlfn.NORM.INV(RAND(),INDEX(ModeLT,MATCH(D130,ModeName,0)),Settings!$B$16),0))+IF(C130="Africa",Settings!$B$17,0)</f>
        <v>20</v>
      </c>
      <c r="F130" s="10" t="n">
        <f aca="false">B130+E130</f>
        <v>45874</v>
      </c>
      <c r="G130" s="10" t="n">
        <f aca="false">B130+ROUND(INDEX(ModeLT,MATCH(D130,ModeName,0)),0)+Settings!$B$18</f>
        <v>45877</v>
      </c>
      <c r="H130" s="2" t="n">
        <f aca="false">IF(F130&lt;=G130,1,0)</f>
        <v>1</v>
      </c>
      <c r="I130" s="2" t="n">
        <f aca="true">ROUND(_xlfn.LOGNORM.INV(RAND(),5.3,0.6),0)</f>
        <v>224</v>
      </c>
    </row>
    <row r="131" customFormat="false" ht="15" hidden="false" customHeight="false" outlineLevel="0" collapsed="false">
      <c r="A131" s="2" t="str">
        <f aca="false">"ORD-"&amp;TEXT(10000+ROW()-1,"00000")</f>
        <v>ORD-10130</v>
      </c>
      <c r="B131" s="10" t="n">
        <f aca="false">DATE(2025,1,1)+RANDBETWEEN(0,364)</f>
        <v>45994</v>
      </c>
      <c r="C131" s="2" t="str">
        <f aca="true">INDEX(RegName,MATCH(RAND(),RegCum,1))</f>
        <v>Asia-Pacific</v>
      </c>
      <c r="D131" s="2" t="str">
        <f aca="true">INDEX(ModeName,MATCH(RAND(),ModeCum,1))</f>
        <v>Air</v>
      </c>
      <c r="E131" s="2" t="n">
        <f aca="true">MAX(1,ROUND(_xlfn.NORM.INV(RAND(),INDEX(ModeLT,MATCH(D131,ModeName,0)),Settings!$B$16),0))+IF(C131="Africa",Settings!$B$17,0)</f>
        <v>5</v>
      </c>
      <c r="F131" s="10" t="n">
        <f aca="false">B131+E131</f>
        <v>45999</v>
      </c>
      <c r="G131" s="10" t="n">
        <f aca="false">B131+ROUND(INDEX(ModeLT,MATCH(D131,ModeName,0)),0)+Settings!$B$18</f>
        <v>46001</v>
      </c>
      <c r="H131" s="2" t="n">
        <f aca="false">IF(F131&lt;=G131,1,0)</f>
        <v>1</v>
      </c>
      <c r="I131" s="2" t="n">
        <f aca="true">ROUND(_xlfn.LOGNORM.INV(RAND(),5.3,0.6),0)</f>
        <v>456</v>
      </c>
    </row>
    <row r="132" customFormat="false" ht="15" hidden="false" customHeight="false" outlineLevel="0" collapsed="false">
      <c r="A132" s="2" t="str">
        <f aca="false">"ORD-"&amp;TEXT(10000+ROW()-1,"00000")</f>
        <v>ORD-10131</v>
      </c>
      <c r="B132" s="10" t="n">
        <f aca="false">DATE(2025,1,1)+RANDBETWEEN(0,364)</f>
        <v>45826</v>
      </c>
      <c r="C132" s="2" t="str">
        <f aca="true">INDEX(RegName,MATCH(RAND(),RegCum,1))</f>
        <v>Europe</v>
      </c>
      <c r="D132" s="2" t="str">
        <f aca="true">INDEX(ModeName,MATCH(RAND(),ModeCum,1))</f>
        <v>Road</v>
      </c>
      <c r="E132" s="2" t="n">
        <f aca="true">MAX(1,ROUND(_xlfn.NORM.INV(RAND(),INDEX(ModeLT,MATCH(D132,ModeName,0)),Settings!$B$16),0))+IF(C132="Africa",Settings!$B$17,0)</f>
        <v>8</v>
      </c>
      <c r="F132" s="10" t="n">
        <f aca="false">B132+E132</f>
        <v>45834</v>
      </c>
      <c r="G132" s="10" t="n">
        <f aca="false">B132+ROUND(INDEX(ModeLT,MATCH(D132,ModeName,0)),0)+Settings!$B$18</f>
        <v>45835</v>
      </c>
      <c r="H132" s="2" t="n">
        <f aca="false">IF(F132&lt;=G132,1,0)</f>
        <v>1</v>
      </c>
      <c r="I132" s="2" t="n">
        <f aca="true">ROUND(_xlfn.LOGNORM.INV(RAND(),5.3,0.6),0)</f>
        <v>124</v>
      </c>
    </row>
    <row r="133" customFormat="false" ht="15" hidden="false" customHeight="false" outlineLevel="0" collapsed="false">
      <c r="A133" s="2" t="str">
        <f aca="false">"ORD-"&amp;TEXT(10000+ROW()-1,"00000")</f>
        <v>ORD-10132</v>
      </c>
      <c r="B133" s="10" t="n">
        <f aca="false">DATE(2025,1,1)+RANDBETWEEN(0,364)</f>
        <v>45873</v>
      </c>
      <c r="C133" s="2" t="str">
        <f aca="true">INDEX(RegName,MATCH(RAND(),RegCum,1))</f>
        <v>Americas</v>
      </c>
      <c r="D133" s="2" t="str">
        <f aca="true">INDEX(ModeName,MATCH(RAND(),ModeCum,1))</f>
        <v>Rail</v>
      </c>
      <c r="E133" s="2" t="n">
        <f aca="true">MAX(1,ROUND(_xlfn.NORM.INV(RAND(),INDEX(ModeLT,MATCH(D133,ModeName,0)),Settings!$B$16),0))+IF(C133="Africa",Settings!$B$17,0)</f>
        <v>11</v>
      </c>
      <c r="F133" s="10" t="n">
        <f aca="false">B133+E133</f>
        <v>45884</v>
      </c>
      <c r="G133" s="10" t="n">
        <f aca="false">B133+ROUND(INDEX(ModeLT,MATCH(D133,ModeName,0)),0)+Settings!$B$18</f>
        <v>45886</v>
      </c>
      <c r="H133" s="2" t="n">
        <f aca="false">IF(F133&lt;=G133,1,0)</f>
        <v>1</v>
      </c>
      <c r="I133" s="2" t="n">
        <f aca="true">ROUND(_xlfn.LOGNORM.INV(RAND(),5.3,0.6),0)</f>
        <v>214</v>
      </c>
    </row>
    <row r="134" customFormat="false" ht="15" hidden="false" customHeight="false" outlineLevel="0" collapsed="false">
      <c r="A134" s="2" t="str">
        <f aca="false">"ORD-"&amp;TEXT(10000+ROW()-1,"00000")</f>
        <v>ORD-10133</v>
      </c>
      <c r="B134" s="10" t="n">
        <f aca="false">DATE(2025,1,1)+RANDBETWEEN(0,364)</f>
        <v>45730</v>
      </c>
      <c r="C134" s="2" t="str">
        <f aca="true">INDEX(RegName,MATCH(RAND(),RegCum,1))</f>
        <v>Americas</v>
      </c>
      <c r="D134" s="2" t="str">
        <f aca="true">INDEX(ModeName,MATCH(RAND(),ModeCum,1))</f>
        <v>Road</v>
      </c>
      <c r="E134" s="2" t="n">
        <f aca="true">MAX(1,ROUND(_xlfn.NORM.INV(RAND(),INDEX(ModeLT,MATCH(D134,ModeName,0)),Settings!$B$16),0))+IF(C134="Africa",Settings!$B$17,0)</f>
        <v>5</v>
      </c>
      <c r="F134" s="10" t="n">
        <f aca="false">B134+E134</f>
        <v>45735</v>
      </c>
      <c r="G134" s="10" t="n">
        <f aca="false">B134+ROUND(INDEX(ModeLT,MATCH(D134,ModeName,0)),0)+Settings!$B$18</f>
        <v>45739</v>
      </c>
      <c r="H134" s="2" t="n">
        <f aca="false">IF(F134&lt;=G134,1,0)</f>
        <v>1</v>
      </c>
      <c r="I134" s="2" t="n">
        <f aca="true">ROUND(_xlfn.LOGNORM.INV(RAND(),5.3,0.6),0)</f>
        <v>75</v>
      </c>
    </row>
    <row r="135" customFormat="false" ht="15" hidden="false" customHeight="false" outlineLevel="0" collapsed="false">
      <c r="A135" s="2" t="str">
        <f aca="false">"ORD-"&amp;TEXT(10000+ROW()-1,"00000")</f>
        <v>ORD-10134</v>
      </c>
      <c r="B135" s="10" t="n">
        <f aca="false">DATE(2025,1,1)+RANDBETWEEN(0,364)</f>
        <v>45683</v>
      </c>
      <c r="C135" s="2" t="str">
        <f aca="true">INDEX(RegName,MATCH(RAND(),RegCum,1))</f>
        <v>Africa</v>
      </c>
      <c r="D135" s="2" t="str">
        <f aca="true">INDEX(ModeName,MATCH(RAND(),ModeCum,1))</f>
        <v>Rail</v>
      </c>
      <c r="E135" s="2" t="n">
        <f aca="true">MAX(1,ROUND(_xlfn.NORM.INV(RAND(),INDEX(ModeLT,MATCH(D135,ModeName,0)),Settings!$B$16),0))+IF(C135="Africa",Settings!$B$17,0)</f>
        <v>13</v>
      </c>
      <c r="F135" s="10" t="n">
        <f aca="false">B135+E135</f>
        <v>45696</v>
      </c>
      <c r="G135" s="10" t="n">
        <f aca="false">B135+ROUND(INDEX(ModeLT,MATCH(D135,ModeName,0)),0)+Settings!$B$18</f>
        <v>45696</v>
      </c>
      <c r="H135" s="2" t="n">
        <f aca="false">IF(F135&lt;=G135,1,0)</f>
        <v>1</v>
      </c>
      <c r="I135" s="2" t="n">
        <f aca="true">ROUND(_xlfn.LOGNORM.INV(RAND(),5.3,0.6),0)</f>
        <v>445</v>
      </c>
    </row>
    <row r="136" customFormat="false" ht="15" hidden="false" customHeight="false" outlineLevel="0" collapsed="false">
      <c r="A136" s="2" t="str">
        <f aca="false">"ORD-"&amp;TEXT(10000+ROW()-1,"00000")</f>
        <v>ORD-10135</v>
      </c>
      <c r="B136" s="10" t="n">
        <f aca="false">DATE(2025,1,1)+RANDBETWEEN(0,364)</f>
        <v>45805</v>
      </c>
      <c r="C136" s="2" t="str">
        <f aca="true">INDEX(RegName,MATCH(RAND(),RegCum,1))</f>
        <v>Americas</v>
      </c>
      <c r="D136" s="2" t="str">
        <f aca="true">INDEX(ModeName,MATCH(RAND(),ModeCum,1))</f>
        <v>Road</v>
      </c>
      <c r="E136" s="2" t="n">
        <f aca="true">MAX(1,ROUND(_xlfn.NORM.INV(RAND(),INDEX(ModeLT,MATCH(D136,ModeName,0)),Settings!$B$16),0))+IF(C136="Africa",Settings!$B$17,0)</f>
        <v>6</v>
      </c>
      <c r="F136" s="10" t="n">
        <f aca="false">B136+E136</f>
        <v>45811</v>
      </c>
      <c r="G136" s="10" t="n">
        <f aca="false">B136+ROUND(INDEX(ModeLT,MATCH(D136,ModeName,0)),0)+Settings!$B$18</f>
        <v>45814</v>
      </c>
      <c r="H136" s="2" t="n">
        <f aca="false">IF(F136&lt;=G136,1,0)</f>
        <v>1</v>
      </c>
      <c r="I136" s="2" t="n">
        <f aca="true">ROUND(_xlfn.LOGNORM.INV(RAND(),5.3,0.6),0)</f>
        <v>242</v>
      </c>
    </row>
    <row r="137" customFormat="false" ht="15" hidden="false" customHeight="false" outlineLevel="0" collapsed="false">
      <c r="A137" s="2" t="str">
        <f aca="false">"ORD-"&amp;TEXT(10000+ROW()-1,"00000")</f>
        <v>ORD-10136</v>
      </c>
      <c r="B137" s="10" t="n">
        <f aca="false">DATE(2025,1,1)+RANDBETWEEN(0,364)</f>
        <v>45875</v>
      </c>
      <c r="C137" s="2" t="str">
        <f aca="true">INDEX(RegName,MATCH(RAND(),RegCum,1))</f>
        <v>Asia-Pacific</v>
      </c>
      <c r="D137" s="2" t="str">
        <f aca="true">INDEX(ModeName,MATCH(RAND(),ModeCum,1))</f>
        <v>Sea</v>
      </c>
      <c r="E137" s="2" t="n">
        <f aca="true">MAX(1,ROUND(_xlfn.NORM.INV(RAND(),INDEX(ModeLT,MATCH(D137,ModeName,0)),Settings!$B$16),0))+IF(C137="Africa",Settings!$B$17,0)</f>
        <v>22</v>
      </c>
      <c r="F137" s="10" t="n">
        <f aca="false">B137+E137</f>
        <v>45897</v>
      </c>
      <c r="G137" s="10" t="n">
        <f aca="false">B137+ROUND(INDEX(ModeLT,MATCH(D137,ModeName,0)),0)+Settings!$B$18</f>
        <v>45898</v>
      </c>
      <c r="H137" s="2" t="n">
        <f aca="false">IF(F137&lt;=G137,1,0)</f>
        <v>1</v>
      </c>
      <c r="I137" s="2" t="n">
        <f aca="true">ROUND(_xlfn.LOGNORM.INV(RAND(),5.3,0.6),0)</f>
        <v>188</v>
      </c>
    </row>
    <row r="138" customFormat="false" ht="15" hidden="false" customHeight="false" outlineLevel="0" collapsed="false">
      <c r="A138" s="2" t="str">
        <f aca="false">"ORD-"&amp;TEXT(10000+ROW()-1,"00000")</f>
        <v>ORD-10137</v>
      </c>
      <c r="B138" s="10" t="n">
        <f aca="false">DATE(2025,1,1)+RANDBETWEEN(0,364)</f>
        <v>45785</v>
      </c>
      <c r="C138" s="2" t="str">
        <f aca="true">INDEX(RegName,MATCH(RAND(),RegCum,1))</f>
        <v>Americas</v>
      </c>
      <c r="D138" s="2" t="str">
        <f aca="true">INDEX(ModeName,MATCH(RAND(),ModeCum,1))</f>
        <v>Sea</v>
      </c>
      <c r="E138" s="2" t="n">
        <f aca="true">MAX(1,ROUND(_xlfn.NORM.INV(RAND(),INDEX(ModeLT,MATCH(D138,ModeName,0)),Settings!$B$16),0))+IF(C138="Africa",Settings!$B$17,0)</f>
        <v>21</v>
      </c>
      <c r="F138" s="10" t="n">
        <f aca="false">B138+E138</f>
        <v>45806</v>
      </c>
      <c r="G138" s="10" t="n">
        <f aca="false">B138+ROUND(INDEX(ModeLT,MATCH(D138,ModeName,0)),0)+Settings!$B$18</f>
        <v>45808</v>
      </c>
      <c r="H138" s="2" t="n">
        <f aca="false">IF(F138&lt;=G138,1,0)</f>
        <v>1</v>
      </c>
      <c r="I138" s="2" t="n">
        <f aca="true">ROUND(_xlfn.LOGNORM.INV(RAND(),5.3,0.6),0)</f>
        <v>277</v>
      </c>
    </row>
    <row r="139" customFormat="false" ht="15" hidden="false" customHeight="false" outlineLevel="0" collapsed="false">
      <c r="A139" s="2" t="str">
        <f aca="false">"ORD-"&amp;TEXT(10000+ROW()-1,"00000")</f>
        <v>ORD-10138</v>
      </c>
      <c r="B139" s="10" t="n">
        <f aca="false">DATE(2025,1,1)+RANDBETWEEN(0,364)</f>
        <v>45728</v>
      </c>
      <c r="C139" s="2" t="str">
        <f aca="true">INDEX(RegName,MATCH(RAND(),RegCum,1))</f>
        <v>Asia-Pacific</v>
      </c>
      <c r="D139" s="2" t="str">
        <f aca="true">INDEX(ModeName,MATCH(RAND(),ModeCum,1))</f>
        <v>Road</v>
      </c>
      <c r="E139" s="2" t="n">
        <f aca="true">MAX(1,ROUND(_xlfn.NORM.INV(RAND(),INDEX(ModeLT,MATCH(D139,ModeName,0)),Settings!$B$16),0))+IF(C139="Africa",Settings!$B$17,0)</f>
        <v>7</v>
      </c>
      <c r="F139" s="10" t="n">
        <f aca="false">B139+E139</f>
        <v>45735</v>
      </c>
      <c r="G139" s="10" t="n">
        <f aca="false">B139+ROUND(INDEX(ModeLT,MATCH(D139,ModeName,0)),0)+Settings!$B$18</f>
        <v>45737</v>
      </c>
      <c r="H139" s="2" t="n">
        <f aca="false">IF(F139&lt;=G139,1,0)</f>
        <v>1</v>
      </c>
      <c r="I139" s="2" t="n">
        <f aca="true">ROUND(_xlfn.LOGNORM.INV(RAND(),5.3,0.6),0)</f>
        <v>247</v>
      </c>
    </row>
    <row r="140" customFormat="false" ht="15" hidden="false" customHeight="false" outlineLevel="0" collapsed="false">
      <c r="A140" s="2" t="str">
        <f aca="false">"ORD-"&amp;TEXT(10000+ROW()-1,"00000")</f>
        <v>ORD-10139</v>
      </c>
      <c r="B140" s="10" t="n">
        <f aca="false">DATE(2025,1,1)+RANDBETWEEN(0,364)</f>
        <v>45789</v>
      </c>
      <c r="C140" s="2" t="str">
        <f aca="true">INDEX(RegName,MATCH(RAND(),RegCum,1))</f>
        <v>Americas</v>
      </c>
      <c r="D140" s="2" t="str">
        <f aca="true">INDEX(ModeName,MATCH(RAND(),ModeCum,1))</f>
        <v>Road</v>
      </c>
      <c r="E140" s="2" t="n">
        <f aca="true">MAX(1,ROUND(_xlfn.NORM.INV(RAND(),INDEX(ModeLT,MATCH(D140,ModeName,0)),Settings!$B$16),0))+IF(C140="Africa",Settings!$B$17,0)</f>
        <v>6</v>
      </c>
      <c r="F140" s="10" t="n">
        <f aca="false">B140+E140</f>
        <v>45795</v>
      </c>
      <c r="G140" s="10" t="n">
        <f aca="false">B140+ROUND(INDEX(ModeLT,MATCH(D140,ModeName,0)),0)+Settings!$B$18</f>
        <v>45798</v>
      </c>
      <c r="H140" s="2" t="n">
        <f aca="false">IF(F140&lt;=G140,1,0)</f>
        <v>1</v>
      </c>
      <c r="I140" s="2" t="n">
        <f aca="true">ROUND(_xlfn.LOGNORM.INV(RAND(),5.3,0.6),0)</f>
        <v>66</v>
      </c>
    </row>
    <row r="141" customFormat="false" ht="15" hidden="false" customHeight="false" outlineLevel="0" collapsed="false">
      <c r="A141" s="2" t="str">
        <f aca="false">"ORD-"&amp;TEXT(10000+ROW()-1,"00000")</f>
        <v>ORD-10140</v>
      </c>
      <c r="B141" s="10" t="n">
        <f aca="false">DATE(2025,1,1)+RANDBETWEEN(0,364)</f>
        <v>45710</v>
      </c>
      <c r="C141" s="2" t="str">
        <f aca="true">INDEX(RegName,MATCH(RAND(),RegCum,1))</f>
        <v>Middle East</v>
      </c>
      <c r="D141" s="2" t="str">
        <f aca="true">INDEX(ModeName,MATCH(RAND(),ModeCum,1))</f>
        <v>Air</v>
      </c>
      <c r="E141" s="2" t="n">
        <f aca="true">MAX(1,ROUND(_xlfn.NORM.INV(RAND(),INDEX(ModeLT,MATCH(D141,ModeName,0)),Settings!$B$16),0))+IF(C141="Africa",Settings!$B$17,0)</f>
        <v>3</v>
      </c>
      <c r="F141" s="10" t="n">
        <f aca="false">B141+E141</f>
        <v>45713</v>
      </c>
      <c r="G141" s="10" t="n">
        <f aca="false">B141+ROUND(INDEX(ModeLT,MATCH(D141,ModeName,0)),0)+Settings!$B$18</f>
        <v>45717</v>
      </c>
      <c r="H141" s="2" t="n">
        <f aca="false">IF(F141&lt;=G141,1,0)</f>
        <v>1</v>
      </c>
      <c r="I141" s="2" t="n">
        <f aca="true">ROUND(_xlfn.LOGNORM.INV(RAND(),5.3,0.6),0)</f>
        <v>127</v>
      </c>
    </row>
    <row r="142" customFormat="false" ht="15" hidden="false" customHeight="false" outlineLevel="0" collapsed="false">
      <c r="A142" s="2" t="str">
        <f aca="false">"ORD-"&amp;TEXT(10000+ROW()-1,"00000")</f>
        <v>ORD-10141</v>
      </c>
      <c r="B142" s="10" t="n">
        <f aca="false">DATE(2025,1,1)+RANDBETWEEN(0,364)</f>
        <v>45690</v>
      </c>
      <c r="C142" s="2" t="str">
        <f aca="true">INDEX(RegName,MATCH(RAND(),RegCum,1))</f>
        <v>Asia-Pacific</v>
      </c>
      <c r="D142" s="2" t="str">
        <f aca="true">INDEX(ModeName,MATCH(RAND(),ModeCum,1))</f>
        <v>Road</v>
      </c>
      <c r="E142" s="2" t="n">
        <f aca="true">MAX(1,ROUND(_xlfn.NORM.INV(RAND(),INDEX(ModeLT,MATCH(D142,ModeName,0)),Settings!$B$16),0))+IF(C142="Africa",Settings!$B$17,0)</f>
        <v>8</v>
      </c>
      <c r="F142" s="10" t="n">
        <f aca="false">B142+E142</f>
        <v>45698</v>
      </c>
      <c r="G142" s="10" t="n">
        <f aca="false">B142+ROUND(INDEX(ModeLT,MATCH(D142,ModeName,0)),0)+Settings!$B$18</f>
        <v>45699</v>
      </c>
      <c r="H142" s="2" t="n">
        <f aca="false">IF(F142&lt;=G142,1,0)</f>
        <v>1</v>
      </c>
      <c r="I142" s="2" t="n">
        <f aca="true">ROUND(_xlfn.LOGNORM.INV(RAND(),5.3,0.6),0)</f>
        <v>86</v>
      </c>
    </row>
    <row r="143" customFormat="false" ht="15" hidden="false" customHeight="false" outlineLevel="0" collapsed="false">
      <c r="A143" s="2" t="str">
        <f aca="false">"ORD-"&amp;TEXT(10000+ROW()-1,"00000")</f>
        <v>ORD-10142</v>
      </c>
      <c r="B143" s="10" t="n">
        <f aca="false">DATE(2025,1,1)+RANDBETWEEN(0,364)</f>
        <v>45867</v>
      </c>
      <c r="C143" s="2" t="str">
        <f aca="true">INDEX(RegName,MATCH(RAND(),RegCum,1))</f>
        <v>Americas</v>
      </c>
      <c r="D143" s="2" t="str">
        <f aca="true">INDEX(ModeName,MATCH(RAND(),ModeCum,1))</f>
        <v>Road</v>
      </c>
      <c r="E143" s="2" t="n">
        <f aca="true">MAX(1,ROUND(_xlfn.NORM.INV(RAND(),INDEX(ModeLT,MATCH(D143,ModeName,0)),Settings!$B$16),0))+IF(C143="Africa",Settings!$B$17,0)</f>
        <v>8</v>
      </c>
      <c r="F143" s="10" t="n">
        <f aca="false">B143+E143</f>
        <v>45875</v>
      </c>
      <c r="G143" s="10" t="n">
        <f aca="false">B143+ROUND(INDEX(ModeLT,MATCH(D143,ModeName,0)),0)+Settings!$B$18</f>
        <v>45876</v>
      </c>
      <c r="H143" s="2" t="n">
        <f aca="false">IF(F143&lt;=G143,1,0)</f>
        <v>1</v>
      </c>
      <c r="I143" s="2" t="n">
        <f aca="true">ROUND(_xlfn.LOGNORM.INV(RAND(),5.3,0.6),0)</f>
        <v>410</v>
      </c>
    </row>
    <row r="144" customFormat="false" ht="15" hidden="false" customHeight="false" outlineLevel="0" collapsed="false">
      <c r="A144" s="2" t="str">
        <f aca="false">"ORD-"&amp;TEXT(10000+ROW()-1,"00000")</f>
        <v>ORD-10143</v>
      </c>
      <c r="B144" s="10" t="n">
        <f aca="false">DATE(2025,1,1)+RANDBETWEEN(0,364)</f>
        <v>46017</v>
      </c>
      <c r="C144" s="2" t="str">
        <f aca="true">INDEX(RegName,MATCH(RAND(),RegCum,1))</f>
        <v>Middle East</v>
      </c>
      <c r="D144" s="2" t="str">
        <f aca="true">INDEX(ModeName,MATCH(RAND(),ModeCum,1))</f>
        <v>Road</v>
      </c>
      <c r="E144" s="2" t="n">
        <f aca="true">MAX(1,ROUND(_xlfn.NORM.INV(RAND(),INDEX(ModeLT,MATCH(D144,ModeName,0)),Settings!$B$16),0))+IF(C144="Africa",Settings!$B$17,0)</f>
        <v>5</v>
      </c>
      <c r="F144" s="10" t="n">
        <f aca="false">B144+E144</f>
        <v>46022</v>
      </c>
      <c r="G144" s="10" t="n">
        <f aca="false">B144+ROUND(INDEX(ModeLT,MATCH(D144,ModeName,0)),0)+Settings!$B$18</f>
        <v>46026</v>
      </c>
      <c r="H144" s="2" t="n">
        <f aca="false">IF(F144&lt;=G144,1,0)</f>
        <v>1</v>
      </c>
      <c r="I144" s="2" t="n">
        <f aca="true">ROUND(_xlfn.LOGNORM.INV(RAND(),5.3,0.6),0)</f>
        <v>342</v>
      </c>
    </row>
    <row r="145" customFormat="false" ht="15" hidden="false" customHeight="false" outlineLevel="0" collapsed="false">
      <c r="A145" s="2" t="str">
        <f aca="false">"ORD-"&amp;TEXT(10000+ROW()-1,"00000")</f>
        <v>ORD-10144</v>
      </c>
      <c r="B145" s="10" t="n">
        <f aca="false">DATE(2025,1,1)+RANDBETWEEN(0,364)</f>
        <v>45848</v>
      </c>
      <c r="C145" s="2" t="str">
        <f aca="true">INDEX(RegName,MATCH(RAND(),RegCum,1))</f>
        <v>Asia-Pacific</v>
      </c>
      <c r="D145" s="2" t="str">
        <f aca="true">INDEX(ModeName,MATCH(RAND(),ModeCum,1))</f>
        <v>Sea</v>
      </c>
      <c r="E145" s="2" t="n">
        <f aca="true">MAX(1,ROUND(_xlfn.NORM.INV(RAND(),INDEX(ModeLT,MATCH(D145,ModeName,0)),Settings!$B$16),0))+IF(C145="Africa",Settings!$B$17,0)</f>
        <v>20</v>
      </c>
      <c r="F145" s="10" t="n">
        <f aca="false">B145+E145</f>
        <v>45868</v>
      </c>
      <c r="G145" s="10" t="n">
        <f aca="false">B145+ROUND(INDEX(ModeLT,MATCH(D145,ModeName,0)),0)+Settings!$B$18</f>
        <v>45871</v>
      </c>
      <c r="H145" s="2" t="n">
        <f aca="false">IF(F145&lt;=G145,1,0)</f>
        <v>1</v>
      </c>
      <c r="I145" s="2" t="n">
        <f aca="true">ROUND(_xlfn.LOGNORM.INV(RAND(),5.3,0.6),0)</f>
        <v>137</v>
      </c>
    </row>
    <row r="146" customFormat="false" ht="15" hidden="false" customHeight="false" outlineLevel="0" collapsed="false">
      <c r="A146" s="2" t="str">
        <f aca="false">"ORD-"&amp;TEXT(10000+ROW()-1,"00000")</f>
        <v>ORD-10145</v>
      </c>
      <c r="B146" s="10" t="n">
        <f aca="false">DATE(2025,1,1)+RANDBETWEEN(0,364)</f>
        <v>45872</v>
      </c>
      <c r="C146" s="2" t="str">
        <f aca="true">INDEX(RegName,MATCH(RAND(),RegCum,1))</f>
        <v>Americas</v>
      </c>
      <c r="D146" s="2" t="str">
        <f aca="true">INDEX(ModeName,MATCH(RAND(),ModeCum,1))</f>
        <v>Air</v>
      </c>
      <c r="E146" s="2" t="n">
        <f aca="true">MAX(1,ROUND(_xlfn.NORM.INV(RAND(),INDEX(ModeLT,MATCH(D146,ModeName,0)),Settings!$B$16),0))+IF(C146="Africa",Settings!$B$17,0)</f>
        <v>9</v>
      </c>
      <c r="F146" s="10" t="n">
        <f aca="false">B146+E146</f>
        <v>45881</v>
      </c>
      <c r="G146" s="10" t="n">
        <f aca="false">B146+ROUND(INDEX(ModeLT,MATCH(D146,ModeName,0)),0)+Settings!$B$18</f>
        <v>45879</v>
      </c>
      <c r="H146" s="2" t="n">
        <f aca="false">IF(F146&lt;=G146,1,0)</f>
        <v>0</v>
      </c>
      <c r="I146" s="2" t="n">
        <f aca="true">ROUND(_xlfn.LOGNORM.INV(RAND(),5.3,0.6),0)</f>
        <v>71</v>
      </c>
    </row>
    <row r="147" customFormat="false" ht="15" hidden="false" customHeight="false" outlineLevel="0" collapsed="false">
      <c r="A147" s="2" t="str">
        <f aca="false">"ORD-"&amp;TEXT(10000+ROW()-1,"00000")</f>
        <v>ORD-10146</v>
      </c>
      <c r="B147" s="10" t="n">
        <f aca="false">DATE(2025,1,1)+RANDBETWEEN(0,364)</f>
        <v>45658</v>
      </c>
      <c r="C147" s="2" t="str">
        <f aca="true">INDEX(RegName,MATCH(RAND(),RegCum,1))</f>
        <v>Europe</v>
      </c>
      <c r="D147" s="2" t="str">
        <f aca="true">INDEX(ModeName,MATCH(RAND(),ModeCum,1))</f>
        <v>Sea</v>
      </c>
      <c r="E147" s="2" t="n">
        <f aca="true">MAX(1,ROUND(_xlfn.NORM.INV(RAND(),INDEX(ModeLT,MATCH(D147,ModeName,0)),Settings!$B$16),0))+IF(C147="Africa",Settings!$B$17,0)</f>
        <v>19</v>
      </c>
      <c r="F147" s="10" t="n">
        <f aca="false">B147+E147</f>
        <v>45677</v>
      </c>
      <c r="G147" s="10" t="n">
        <f aca="false">B147+ROUND(INDEX(ModeLT,MATCH(D147,ModeName,0)),0)+Settings!$B$18</f>
        <v>45681</v>
      </c>
      <c r="H147" s="2" t="n">
        <f aca="false">IF(F147&lt;=G147,1,0)</f>
        <v>1</v>
      </c>
      <c r="I147" s="2" t="n">
        <f aca="true">ROUND(_xlfn.LOGNORM.INV(RAND(),5.3,0.6),0)</f>
        <v>137</v>
      </c>
    </row>
    <row r="148" customFormat="false" ht="15" hidden="false" customHeight="false" outlineLevel="0" collapsed="false">
      <c r="A148" s="2" t="str">
        <f aca="false">"ORD-"&amp;TEXT(10000+ROW()-1,"00000")</f>
        <v>ORD-10147</v>
      </c>
      <c r="B148" s="10" t="n">
        <f aca="false">DATE(2025,1,1)+RANDBETWEEN(0,364)</f>
        <v>46022</v>
      </c>
      <c r="C148" s="2" t="str">
        <f aca="true">INDEX(RegName,MATCH(RAND(),RegCum,1))</f>
        <v>Asia-Pacific</v>
      </c>
      <c r="D148" s="2" t="str">
        <f aca="true">INDEX(ModeName,MATCH(RAND(),ModeCum,1))</f>
        <v>Road</v>
      </c>
      <c r="E148" s="2" t="n">
        <f aca="true">MAX(1,ROUND(_xlfn.NORM.INV(RAND(),INDEX(ModeLT,MATCH(D148,ModeName,0)),Settings!$B$16),0))+IF(C148="Africa",Settings!$B$17,0)</f>
        <v>9</v>
      </c>
      <c r="F148" s="10" t="n">
        <f aca="false">B148+E148</f>
        <v>46031</v>
      </c>
      <c r="G148" s="10" t="n">
        <f aca="false">B148+ROUND(INDEX(ModeLT,MATCH(D148,ModeName,0)),0)+Settings!$B$18</f>
        <v>46031</v>
      </c>
      <c r="H148" s="2" t="n">
        <f aca="false">IF(F148&lt;=G148,1,0)</f>
        <v>1</v>
      </c>
      <c r="I148" s="2" t="n">
        <f aca="true">ROUND(_xlfn.LOGNORM.INV(RAND(),5.3,0.6),0)</f>
        <v>140</v>
      </c>
    </row>
    <row r="149" customFormat="false" ht="15" hidden="false" customHeight="false" outlineLevel="0" collapsed="false">
      <c r="A149" s="2" t="str">
        <f aca="false">"ORD-"&amp;TEXT(10000+ROW()-1,"00000")</f>
        <v>ORD-10148</v>
      </c>
      <c r="B149" s="10" t="n">
        <f aca="false">DATE(2025,1,1)+RANDBETWEEN(0,364)</f>
        <v>45659</v>
      </c>
      <c r="C149" s="2" t="str">
        <f aca="true">INDEX(RegName,MATCH(RAND(),RegCum,1))</f>
        <v>Asia-Pacific</v>
      </c>
      <c r="D149" s="2" t="str">
        <f aca="true">INDEX(ModeName,MATCH(RAND(),ModeCum,1))</f>
        <v>Road</v>
      </c>
      <c r="E149" s="2" t="n">
        <f aca="true">MAX(1,ROUND(_xlfn.NORM.INV(RAND(),INDEX(ModeLT,MATCH(D149,ModeName,0)),Settings!$B$16),0))+IF(C149="Africa",Settings!$B$17,0)</f>
        <v>9</v>
      </c>
      <c r="F149" s="10" t="n">
        <f aca="false">B149+E149</f>
        <v>45668</v>
      </c>
      <c r="G149" s="10" t="n">
        <f aca="false">B149+ROUND(INDEX(ModeLT,MATCH(D149,ModeName,0)),0)+Settings!$B$18</f>
        <v>45668</v>
      </c>
      <c r="H149" s="2" t="n">
        <f aca="false">IF(F149&lt;=G149,1,0)</f>
        <v>1</v>
      </c>
      <c r="I149" s="2" t="n">
        <f aca="true">ROUND(_xlfn.LOGNORM.INV(RAND(),5.3,0.6),0)</f>
        <v>213</v>
      </c>
    </row>
    <row r="150" customFormat="false" ht="15" hidden="false" customHeight="false" outlineLevel="0" collapsed="false">
      <c r="A150" s="2" t="str">
        <f aca="false">"ORD-"&amp;TEXT(10000+ROW()-1,"00000")</f>
        <v>ORD-10149</v>
      </c>
      <c r="B150" s="10" t="n">
        <f aca="false">DATE(2025,1,1)+RANDBETWEEN(0,364)</f>
        <v>45769</v>
      </c>
      <c r="C150" s="2" t="str">
        <f aca="true">INDEX(RegName,MATCH(RAND(),RegCum,1))</f>
        <v>Americas</v>
      </c>
      <c r="D150" s="2" t="str">
        <f aca="true">INDEX(ModeName,MATCH(RAND(),ModeCum,1))</f>
        <v>Road</v>
      </c>
      <c r="E150" s="2" t="n">
        <f aca="true">MAX(1,ROUND(_xlfn.NORM.INV(RAND(),INDEX(ModeLT,MATCH(D150,ModeName,0)),Settings!$B$16),0))+IF(C150="Africa",Settings!$B$17,0)</f>
        <v>7</v>
      </c>
      <c r="F150" s="10" t="n">
        <f aca="false">B150+E150</f>
        <v>45776</v>
      </c>
      <c r="G150" s="10" t="n">
        <f aca="false">B150+ROUND(INDEX(ModeLT,MATCH(D150,ModeName,0)),0)+Settings!$B$18</f>
        <v>45778</v>
      </c>
      <c r="H150" s="2" t="n">
        <f aca="false">IF(F150&lt;=G150,1,0)</f>
        <v>1</v>
      </c>
      <c r="I150" s="2" t="n">
        <f aca="true">ROUND(_xlfn.LOGNORM.INV(RAND(),5.3,0.6),0)</f>
        <v>292</v>
      </c>
    </row>
    <row r="151" customFormat="false" ht="15" hidden="false" customHeight="false" outlineLevel="0" collapsed="false">
      <c r="A151" s="2" t="str">
        <f aca="false">"ORD-"&amp;TEXT(10000+ROW()-1,"00000")</f>
        <v>ORD-10150</v>
      </c>
      <c r="B151" s="10" t="n">
        <f aca="false">DATE(2025,1,1)+RANDBETWEEN(0,364)</f>
        <v>45906</v>
      </c>
      <c r="C151" s="2" t="str">
        <f aca="true">INDEX(RegName,MATCH(RAND(),RegCum,1))</f>
        <v>Americas</v>
      </c>
      <c r="D151" s="2" t="str">
        <f aca="true">INDEX(ModeName,MATCH(RAND(),ModeCum,1))</f>
        <v>Sea</v>
      </c>
      <c r="E151" s="2" t="n">
        <f aca="true">MAX(1,ROUND(_xlfn.NORM.INV(RAND(),INDEX(ModeLT,MATCH(D151,ModeName,0)),Settings!$B$16),0))+IF(C151="Africa",Settings!$B$17,0)</f>
        <v>21</v>
      </c>
      <c r="F151" s="10" t="n">
        <f aca="false">B151+E151</f>
        <v>45927</v>
      </c>
      <c r="G151" s="10" t="n">
        <f aca="false">B151+ROUND(INDEX(ModeLT,MATCH(D151,ModeName,0)),0)+Settings!$B$18</f>
        <v>45929</v>
      </c>
      <c r="H151" s="2" t="n">
        <f aca="false">IF(F151&lt;=G151,1,0)</f>
        <v>1</v>
      </c>
      <c r="I151" s="2" t="n">
        <f aca="true">ROUND(_xlfn.LOGNORM.INV(RAND(),5.3,0.6),0)</f>
        <v>261</v>
      </c>
    </row>
    <row r="152" customFormat="false" ht="15" hidden="false" customHeight="false" outlineLevel="0" collapsed="false">
      <c r="A152" s="2" t="str">
        <f aca="false">"ORD-"&amp;TEXT(10000+ROW()-1,"00000")</f>
        <v>ORD-10151</v>
      </c>
      <c r="B152" s="10" t="n">
        <f aca="false">DATE(2025,1,1)+RANDBETWEEN(0,364)</f>
        <v>45718</v>
      </c>
      <c r="C152" s="2" t="str">
        <f aca="true">INDEX(RegName,MATCH(RAND(),RegCum,1))</f>
        <v>Europe</v>
      </c>
      <c r="D152" s="2" t="str">
        <f aca="true">INDEX(ModeName,MATCH(RAND(),ModeCum,1))</f>
        <v>Road</v>
      </c>
      <c r="E152" s="2" t="n">
        <f aca="true">MAX(1,ROUND(_xlfn.NORM.INV(RAND(),INDEX(ModeLT,MATCH(D152,ModeName,0)),Settings!$B$16),0))+IF(C152="Africa",Settings!$B$17,0)</f>
        <v>6</v>
      </c>
      <c r="F152" s="10" t="n">
        <f aca="false">B152+E152</f>
        <v>45724</v>
      </c>
      <c r="G152" s="10" t="n">
        <f aca="false">B152+ROUND(INDEX(ModeLT,MATCH(D152,ModeName,0)),0)+Settings!$B$18</f>
        <v>45727</v>
      </c>
      <c r="H152" s="2" t="n">
        <f aca="false">IF(F152&lt;=G152,1,0)</f>
        <v>1</v>
      </c>
      <c r="I152" s="2" t="n">
        <f aca="true">ROUND(_xlfn.LOGNORM.INV(RAND(),5.3,0.6),0)</f>
        <v>147</v>
      </c>
    </row>
    <row r="153" customFormat="false" ht="15" hidden="false" customHeight="false" outlineLevel="0" collapsed="false">
      <c r="A153" s="2" t="str">
        <f aca="false">"ORD-"&amp;TEXT(10000+ROW()-1,"00000")</f>
        <v>ORD-10152</v>
      </c>
      <c r="B153" s="10" t="n">
        <f aca="false">DATE(2025,1,1)+RANDBETWEEN(0,364)</f>
        <v>45846</v>
      </c>
      <c r="C153" s="2" t="str">
        <f aca="true">INDEX(RegName,MATCH(RAND(),RegCum,1))</f>
        <v>Europe</v>
      </c>
      <c r="D153" s="2" t="str">
        <f aca="true">INDEX(ModeName,MATCH(RAND(),ModeCum,1))</f>
        <v>Air</v>
      </c>
      <c r="E153" s="2" t="n">
        <f aca="true">MAX(1,ROUND(_xlfn.NORM.INV(RAND(),INDEX(ModeLT,MATCH(D153,ModeName,0)),Settings!$B$16),0))+IF(C153="Africa",Settings!$B$17,0)</f>
        <v>5</v>
      </c>
      <c r="F153" s="10" t="n">
        <f aca="false">B153+E153</f>
        <v>45851</v>
      </c>
      <c r="G153" s="10" t="n">
        <f aca="false">B153+ROUND(INDEX(ModeLT,MATCH(D153,ModeName,0)),0)+Settings!$B$18</f>
        <v>45853</v>
      </c>
      <c r="H153" s="2" t="n">
        <f aca="false">IF(F153&lt;=G153,1,0)</f>
        <v>1</v>
      </c>
      <c r="I153" s="2" t="n">
        <f aca="true">ROUND(_xlfn.LOGNORM.INV(RAND(),5.3,0.6),0)</f>
        <v>179</v>
      </c>
    </row>
    <row r="154" customFormat="false" ht="15" hidden="false" customHeight="false" outlineLevel="0" collapsed="false">
      <c r="A154" s="2" t="str">
        <f aca="false">"ORD-"&amp;TEXT(10000+ROW()-1,"00000")</f>
        <v>ORD-10153</v>
      </c>
      <c r="B154" s="10" t="n">
        <f aca="false">DATE(2025,1,1)+RANDBETWEEN(0,364)</f>
        <v>45828</v>
      </c>
      <c r="C154" s="2" t="str">
        <f aca="true">INDEX(RegName,MATCH(RAND(),RegCum,1))</f>
        <v>Asia-Pacific</v>
      </c>
      <c r="D154" s="2" t="str">
        <f aca="true">INDEX(ModeName,MATCH(RAND(),ModeCum,1))</f>
        <v>Sea</v>
      </c>
      <c r="E154" s="2" t="n">
        <f aca="true">MAX(1,ROUND(_xlfn.NORM.INV(RAND(),INDEX(ModeLT,MATCH(D154,ModeName,0)),Settings!$B$16),0))+IF(C154="Africa",Settings!$B$17,0)</f>
        <v>22</v>
      </c>
      <c r="F154" s="10" t="n">
        <f aca="false">B154+E154</f>
        <v>45850</v>
      </c>
      <c r="G154" s="10" t="n">
        <f aca="false">B154+ROUND(INDEX(ModeLT,MATCH(D154,ModeName,0)),0)+Settings!$B$18</f>
        <v>45851</v>
      </c>
      <c r="H154" s="2" t="n">
        <f aca="false">IF(F154&lt;=G154,1,0)</f>
        <v>1</v>
      </c>
      <c r="I154" s="2" t="n">
        <f aca="true">ROUND(_xlfn.LOGNORM.INV(RAND(),5.3,0.6),0)</f>
        <v>87</v>
      </c>
    </row>
    <row r="155" customFormat="false" ht="15" hidden="false" customHeight="false" outlineLevel="0" collapsed="false">
      <c r="A155" s="2" t="str">
        <f aca="false">"ORD-"&amp;TEXT(10000+ROW()-1,"00000")</f>
        <v>ORD-10154</v>
      </c>
      <c r="B155" s="10" t="n">
        <f aca="false">DATE(2025,1,1)+RANDBETWEEN(0,364)</f>
        <v>45733</v>
      </c>
      <c r="C155" s="2" t="str">
        <f aca="true">INDEX(RegName,MATCH(RAND(),RegCum,1))</f>
        <v>Asia-Pacific</v>
      </c>
      <c r="D155" s="2" t="str">
        <f aca="true">INDEX(ModeName,MATCH(RAND(),ModeCum,1))</f>
        <v>Road</v>
      </c>
      <c r="E155" s="2" t="n">
        <f aca="true">MAX(1,ROUND(_xlfn.NORM.INV(RAND(),INDEX(ModeLT,MATCH(D155,ModeName,0)),Settings!$B$16),0))+IF(C155="Africa",Settings!$B$17,0)</f>
        <v>8</v>
      </c>
      <c r="F155" s="10" t="n">
        <f aca="false">B155+E155</f>
        <v>45741</v>
      </c>
      <c r="G155" s="10" t="n">
        <f aca="false">B155+ROUND(INDEX(ModeLT,MATCH(D155,ModeName,0)),0)+Settings!$B$18</f>
        <v>45742</v>
      </c>
      <c r="H155" s="2" t="n">
        <f aca="false">IF(F155&lt;=G155,1,0)</f>
        <v>1</v>
      </c>
      <c r="I155" s="2" t="n">
        <f aca="true">ROUND(_xlfn.LOGNORM.INV(RAND(),5.3,0.6),0)</f>
        <v>201</v>
      </c>
    </row>
    <row r="156" customFormat="false" ht="15" hidden="false" customHeight="false" outlineLevel="0" collapsed="false">
      <c r="A156" s="2" t="str">
        <f aca="false">"ORD-"&amp;TEXT(10000+ROW()-1,"00000")</f>
        <v>ORD-10155</v>
      </c>
      <c r="B156" s="10" t="n">
        <f aca="false">DATE(2025,1,1)+RANDBETWEEN(0,364)</f>
        <v>45681</v>
      </c>
      <c r="C156" s="2" t="str">
        <f aca="true">INDEX(RegName,MATCH(RAND(),RegCum,1))</f>
        <v>Asia-Pacific</v>
      </c>
      <c r="D156" s="2" t="str">
        <f aca="true">INDEX(ModeName,MATCH(RAND(),ModeCum,1))</f>
        <v>Air</v>
      </c>
      <c r="E156" s="2" t="n">
        <f aca="true">MAX(1,ROUND(_xlfn.NORM.INV(RAND(),INDEX(ModeLT,MATCH(D156,ModeName,0)),Settings!$B$16),0))+IF(C156="Africa",Settings!$B$17,0)</f>
        <v>5</v>
      </c>
      <c r="F156" s="10" t="n">
        <f aca="false">B156+E156</f>
        <v>45686</v>
      </c>
      <c r="G156" s="10" t="n">
        <f aca="false">B156+ROUND(INDEX(ModeLT,MATCH(D156,ModeName,0)),0)+Settings!$B$18</f>
        <v>45688</v>
      </c>
      <c r="H156" s="2" t="n">
        <f aca="false">IF(F156&lt;=G156,1,0)</f>
        <v>1</v>
      </c>
      <c r="I156" s="2" t="n">
        <f aca="true">ROUND(_xlfn.LOGNORM.INV(RAND(),5.3,0.6),0)</f>
        <v>213</v>
      </c>
    </row>
    <row r="157" customFormat="false" ht="15" hidden="false" customHeight="false" outlineLevel="0" collapsed="false">
      <c r="A157" s="2" t="str">
        <f aca="false">"ORD-"&amp;TEXT(10000+ROW()-1,"00000")</f>
        <v>ORD-10156</v>
      </c>
      <c r="B157" s="10" t="n">
        <f aca="false">DATE(2025,1,1)+RANDBETWEEN(0,364)</f>
        <v>45860</v>
      </c>
      <c r="C157" s="2" t="str">
        <f aca="true">INDEX(RegName,MATCH(RAND(),RegCum,1))</f>
        <v>Africa</v>
      </c>
      <c r="D157" s="2" t="str">
        <f aca="true">INDEX(ModeName,MATCH(RAND(),ModeCum,1))</f>
        <v>Road</v>
      </c>
      <c r="E157" s="2" t="n">
        <f aca="true">MAX(1,ROUND(_xlfn.NORM.INV(RAND(),INDEX(ModeLT,MATCH(D157,ModeName,0)),Settings!$B$16),0))+IF(C157="Africa",Settings!$B$17,0)</f>
        <v>8</v>
      </c>
      <c r="F157" s="10" t="n">
        <f aca="false">B157+E157</f>
        <v>45868</v>
      </c>
      <c r="G157" s="10" t="n">
        <f aca="false">B157+ROUND(INDEX(ModeLT,MATCH(D157,ModeName,0)),0)+Settings!$B$18</f>
        <v>45869</v>
      </c>
      <c r="H157" s="2" t="n">
        <f aca="false">IF(F157&lt;=G157,1,0)</f>
        <v>1</v>
      </c>
      <c r="I157" s="2" t="n">
        <f aca="true">ROUND(_xlfn.LOGNORM.INV(RAND(),5.3,0.6),0)</f>
        <v>187</v>
      </c>
    </row>
    <row r="158" customFormat="false" ht="15" hidden="false" customHeight="false" outlineLevel="0" collapsed="false">
      <c r="A158" s="2" t="str">
        <f aca="false">"ORD-"&amp;TEXT(10000+ROW()-1,"00000")</f>
        <v>ORD-10157</v>
      </c>
      <c r="B158" s="10" t="n">
        <f aca="false">DATE(2025,1,1)+RANDBETWEEN(0,364)</f>
        <v>45974</v>
      </c>
      <c r="C158" s="2" t="str">
        <f aca="true">INDEX(RegName,MATCH(RAND(),RegCum,1))</f>
        <v>Europe</v>
      </c>
      <c r="D158" s="2" t="str">
        <f aca="true">INDEX(ModeName,MATCH(RAND(),ModeCum,1))</f>
        <v>Sea</v>
      </c>
      <c r="E158" s="2" t="n">
        <f aca="true">MAX(1,ROUND(_xlfn.NORM.INV(RAND(),INDEX(ModeLT,MATCH(D158,ModeName,0)),Settings!$B$16),0))+IF(C158="Africa",Settings!$B$17,0)</f>
        <v>21</v>
      </c>
      <c r="F158" s="10" t="n">
        <f aca="false">B158+E158</f>
        <v>45995</v>
      </c>
      <c r="G158" s="10" t="n">
        <f aca="false">B158+ROUND(INDEX(ModeLT,MATCH(D158,ModeName,0)),0)+Settings!$B$18</f>
        <v>45997</v>
      </c>
      <c r="H158" s="2" t="n">
        <f aca="false">IF(F158&lt;=G158,1,0)</f>
        <v>1</v>
      </c>
      <c r="I158" s="2" t="n">
        <f aca="true">ROUND(_xlfn.LOGNORM.INV(RAND(),5.3,0.6),0)</f>
        <v>361</v>
      </c>
    </row>
    <row r="159" customFormat="false" ht="15" hidden="false" customHeight="false" outlineLevel="0" collapsed="false">
      <c r="A159" s="2" t="str">
        <f aca="false">"ORD-"&amp;TEXT(10000+ROW()-1,"00000")</f>
        <v>ORD-10158</v>
      </c>
      <c r="B159" s="10" t="n">
        <f aca="false">DATE(2025,1,1)+RANDBETWEEN(0,364)</f>
        <v>45817</v>
      </c>
      <c r="C159" s="2" t="str">
        <f aca="true">INDEX(RegName,MATCH(RAND(),RegCum,1))</f>
        <v>Americas</v>
      </c>
      <c r="D159" s="2" t="str">
        <f aca="true">INDEX(ModeName,MATCH(RAND(),ModeCum,1))</f>
        <v>Rail</v>
      </c>
      <c r="E159" s="2" t="n">
        <f aca="true">MAX(1,ROUND(_xlfn.NORM.INV(RAND(),INDEX(ModeLT,MATCH(D159,ModeName,0)),Settings!$B$16),0))+IF(C159="Africa",Settings!$B$17,0)</f>
        <v>12</v>
      </c>
      <c r="F159" s="10" t="n">
        <f aca="false">B159+E159</f>
        <v>45829</v>
      </c>
      <c r="G159" s="10" t="n">
        <f aca="false">B159+ROUND(INDEX(ModeLT,MATCH(D159,ModeName,0)),0)+Settings!$B$18</f>
        <v>45830</v>
      </c>
      <c r="H159" s="2" t="n">
        <f aca="false">IF(F159&lt;=G159,1,0)</f>
        <v>1</v>
      </c>
      <c r="I159" s="2" t="n">
        <f aca="true">ROUND(_xlfn.LOGNORM.INV(RAND(),5.3,0.6),0)</f>
        <v>390</v>
      </c>
    </row>
    <row r="160" customFormat="false" ht="15" hidden="false" customHeight="false" outlineLevel="0" collapsed="false">
      <c r="A160" s="2" t="str">
        <f aca="false">"ORD-"&amp;TEXT(10000+ROW()-1,"00000")</f>
        <v>ORD-10159</v>
      </c>
      <c r="B160" s="10" t="n">
        <f aca="false">DATE(2025,1,1)+RANDBETWEEN(0,364)</f>
        <v>45910</v>
      </c>
      <c r="C160" s="2" t="str">
        <f aca="true">INDEX(RegName,MATCH(RAND(),RegCum,1))</f>
        <v>Europe</v>
      </c>
      <c r="D160" s="2" t="str">
        <f aca="true">INDEX(ModeName,MATCH(RAND(),ModeCum,1))</f>
        <v>Air</v>
      </c>
      <c r="E160" s="2" t="n">
        <f aca="true">MAX(1,ROUND(_xlfn.NORM.INV(RAND(),INDEX(ModeLT,MATCH(D160,ModeName,0)),Settings!$B$16),0))+IF(C160="Africa",Settings!$B$17,0)</f>
        <v>6</v>
      </c>
      <c r="F160" s="10" t="n">
        <f aca="false">B160+E160</f>
        <v>45916</v>
      </c>
      <c r="G160" s="10" t="n">
        <f aca="false">B160+ROUND(INDEX(ModeLT,MATCH(D160,ModeName,0)),0)+Settings!$B$18</f>
        <v>45917</v>
      </c>
      <c r="H160" s="2" t="n">
        <f aca="false">IF(F160&lt;=G160,1,0)</f>
        <v>1</v>
      </c>
      <c r="I160" s="2" t="n">
        <f aca="true">ROUND(_xlfn.LOGNORM.INV(RAND(),5.3,0.6),0)</f>
        <v>305</v>
      </c>
    </row>
    <row r="161" customFormat="false" ht="15" hidden="false" customHeight="false" outlineLevel="0" collapsed="false">
      <c r="A161" s="2" t="str">
        <f aca="false">"ORD-"&amp;TEXT(10000+ROW()-1,"00000")</f>
        <v>ORD-10160</v>
      </c>
      <c r="B161" s="10" t="n">
        <f aca="false">DATE(2025,1,1)+RANDBETWEEN(0,364)</f>
        <v>45779</v>
      </c>
      <c r="C161" s="2" t="str">
        <f aca="true">INDEX(RegName,MATCH(RAND(),RegCum,1))</f>
        <v>Europe</v>
      </c>
      <c r="D161" s="2" t="str">
        <f aca="true">INDEX(ModeName,MATCH(RAND(),ModeCum,1))</f>
        <v>Road</v>
      </c>
      <c r="E161" s="2" t="n">
        <f aca="true">MAX(1,ROUND(_xlfn.NORM.INV(RAND(),INDEX(ModeLT,MATCH(D161,ModeName,0)),Settings!$B$16),0))+IF(C161="Africa",Settings!$B$17,0)</f>
        <v>7</v>
      </c>
      <c r="F161" s="10" t="n">
        <f aca="false">B161+E161</f>
        <v>45786</v>
      </c>
      <c r="G161" s="10" t="n">
        <f aca="false">B161+ROUND(INDEX(ModeLT,MATCH(D161,ModeName,0)),0)+Settings!$B$18</f>
        <v>45788</v>
      </c>
      <c r="H161" s="2" t="n">
        <f aca="false">IF(F161&lt;=G161,1,0)</f>
        <v>1</v>
      </c>
      <c r="I161" s="2" t="n">
        <f aca="true">ROUND(_xlfn.LOGNORM.INV(RAND(),5.3,0.6),0)</f>
        <v>139</v>
      </c>
    </row>
    <row r="162" customFormat="false" ht="15" hidden="false" customHeight="false" outlineLevel="0" collapsed="false">
      <c r="A162" s="2" t="str">
        <f aca="false">"ORD-"&amp;TEXT(10000+ROW()-1,"00000")</f>
        <v>ORD-10161</v>
      </c>
      <c r="B162" s="10" t="n">
        <f aca="false">DATE(2025,1,1)+RANDBETWEEN(0,364)</f>
        <v>45828</v>
      </c>
      <c r="C162" s="2" t="str">
        <f aca="true">INDEX(RegName,MATCH(RAND(),RegCum,1))</f>
        <v>Europe</v>
      </c>
      <c r="D162" s="2" t="str">
        <f aca="true">INDEX(ModeName,MATCH(RAND(),ModeCum,1))</f>
        <v>Rail</v>
      </c>
      <c r="E162" s="2" t="n">
        <f aca="true">MAX(1,ROUND(_xlfn.NORM.INV(RAND(),INDEX(ModeLT,MATCH(D162,ModeName,0)),Settings!$B$16),0))+IF(C162="Africa",Settings!$B$17,0)</f>
        <v>11</v>
      </c>
      <c r="F162" s="10" t="n">
        <f aca="false">B162+E162</f>
        <v>45839</v>
      </c>
      <c r="G162" s="10" t="n">
        <f aca="false">B162+ROUND(INDEX(ModeLT,MATCH(D162,ModeName,0)),0)+Settings!$B$18</f>
        <v>45841</v>
      </c>
      <c r="H162" s="2" t="n">
        <f aca="false">IF(F162&lt;=G162,1,0)</f>
        <v>1</v>
      </c>
      <c r="I162" s="2" t="n">
        <f aca="true">ROUND(_xlfn.LOGNORM.INV(RAND(),5.3,0.6),0)</f>
        <v>170</v>
      </c>
    </row>
    <row r="163" customFormat="false" ht="15" hidden="false" customHeight="false" outlineLevel="0" collapsed="false">
      <c r="A163" s="2" t="str">
        <f aca="false">"ORD-"&amp;TEXT(10000+ROW()-1,"00000")</f>
        <v>ORD-10162</v>
      </c>
      <c r="B163" s="10" t="n">
        <f aca="false">DATE(2025,1,1)+RANDBETWEEN(0,364)</f>
        <v>45942</v>
      </c>
      <c r="C163" s="2" t="str">
        <f aca="true">INDEX(RegName,MATCH(RAND(),RegCum,1))</f>
        <v>Asia-Pacific</v>
      </c>
      <c r="D163" s="2" t="str">
        <f aca="true">INDEX(ModeName,MATCH(RAND(),ModeCum,1))</f>
        <v>Air</v>
      </c>
      <c r="E163" s="2" t="n">
        <f aca="true">MAX(1,ROUND(_xlfn.NORM.INV(RAND(),INDEX(ModeLT,MATCH(D163,ModeName,0)),Settings!$B$16),0))+IF(C163="Africa",Settings!$B$17,0)</f>
        <v>6</v>
      </c>
      <c r="F163" s="10" t="n">
        <f aca="false">B163+E163</f>
        <v>45948</v>
      </c>
      <c r="G163" s="10" t="n">
        <f aca="false">B163+ROUND(INDEX(ModeLT,MATCH(D163,ModeName,0)),0)+Settings!$B$18</f>
        <v>45949</v>
      </c>
      <c r="H163" s="2" t="n">
        <f aca="false">IF(F163&lt;=G163,1,0)</f>
        <v>1</v>
      </c>
      <c r="I163" s="2" t="n">
        <f aca="true">ROUND(_xlfn.LOGNORM.INV(RAND(),5.3,0.6),0)</f>
        <v>699</v>
      </c>
    </row>
    <row r="164" customFormat="false" ht="15" hidden="false" customHeight="false" outlineLevel="0" collapsed="false">
      <c r="A164" s="2" t="str">
        <f aca="false">"ORD-"&amp;TEXT(10000+ROW()-1,"00000")</f>
        <v>ORD-10163</v>
      </c>
      <c r="B164" s="10" t="n">
        <f aca="false">DATE(2025,1,1)+RANDBETWEEN(0,364)</f>
        <v>45899</v>
      </c>
      <c r="C164" s="2" t="str">
        <f aca="true">INDEX(RegName,MATCH(RAND(),RegCum,1))</f>
        <v>Asia-Pacific</v>
      </c>
      <c r="D164" s="2" t="str">
        <f aca="true">INDEX(ModeName,MATCH(RAND(),ModeCum,1))</f>
        <v>Road</v>
      </c>
      <c r="E164" s="2" t="n">
        <f aca="true">MAX(1,ROUND(_xlfn.NORM.INV(RAND(),INDEX(ModeLT,MATCH(D164,ModeName,0)),Settings!$B$16),0))+IF(C164="Africa",Settings!$B$17,0)</f>
        <v>7</v>
      </c>
      <c r="F164" s="10" t="n">
        <f aca="false">B164+E164</f>
        <v>45906</v>
      </c>
      <c r="G164" s="10" t="n">
        <f aca="false">B164+ROUND(INDEX(ModeLT,MATCH(D164,ModeName,0)),0)+Settings!$B$18</f>
        <v>45908</v>
      </c>
      <c r="H164" s="2" t="n">
        <f aca="false">IF(F164&lt;=G164,1,0)</f>
        <v>1</v>
      </c>
      <c r="I164" s="2" t="n">
        <f aca="true">ROUND(_xlfn.LOGNORM.INV(RAND(),5.3,0.6),0)</f>
        <v>195</v>
      </c>
    </row>
    <row r="165" customFormat="false" ht="15" hidden="false" customHeight="false" outlineLevel="0" collapsed="false">
      <c r="A165" s="2" t="str">
        <f aca="false">"ORD-"&amp;TEXT(10000+ROW()-1,"00000")</f>
        <v>ORD-10164</v>
      </c>
      <c r="B165" s="10" t="n">
        <f aca="false">DATE(2025,1,1)+RANDBETWEEN(0,364)</f>
        <v>46010</v>
      </c>
      <c r="C165" s="2" t="str">
        <f aca="true">INDEX(RegName,MATCH(RAND(),RegCum,1))</f>
        <v>Europe</v>
      </c>
      <c r="D165" s="2" t="str">
        <f aca="true">INDEX(ModeName,MATCH(RAND(),ModeCum,1))</f>
        <v>Rail</v>
      </c>
      <c r="E165" s="2" t="n">
        <f aca="true">MAX(1,ROUND(_xlfn.NORM.INV(RAND(),INDEX(ModeLT,MATCH(D165,ModeName,0)),Settings!$B$16),0))+IF(C165="Africa",Settings!$B$17,0)</f>
        <v>10</v>
      </c>
      <c r="F165" s="10" t="n">
        <f aca="false">B165+E165</f>
        <v>46020</v>
      </c>
      <c r="G165" s="10" t="n">
        <f aca="false">B165+ROUND(INDEX(ModeLT,MATCH(D165,ModeName,0)),0)+Settings!$B$18</f>
        <v>46023</v>
      </c>
      <c r="H165" s="2" t="n">
        <f aca="false">IF(F165&lt;=G165,1,0)</f>
        <v>1</v>
      </c>
      <c r="I165" s="2" t="n">
        <f aca="true">ROUND(_xlfn.LOGNORM.INV(RAND(),5.3,0.6),0)</f>
        <v>42</v>
      </c>
    </row>
    <row r="166" customFormat="false" ht="15" hidden="false" customHeight="false" outlineLevel="0" collapsed="false">
      <c r="A166" s="2" t="str">
        <f aca="false">"ORD-"&amp;TEXT(10000+ROW()-1,"00000")</f>
        <v>ORD-10165</v>
      </c>
      <c r="B166" s="10" t="n">
        <f aca="false">DATE(2025,1,1)+RANDBETWEEN(0,364)</f>
        <v>45745</v>
      </c>
      <c r="C166" s="2" t="str">
        <f aca="true">INDEX(RegName,MATCH(RAND(),RegCum,1))</f>
        <v>Asia-Pacific</v>
      </c>
      <c r="D166" s="2" t="str">
        <f aca="true">INDEX(ModeName,MATCH(RAND(),ModeCum,1))</f>
        <v>Sea</v>
      </c>
      <c r="E166" s="2" t="n">
        <f aca="true">MAX(1,ROUND(_xlfn.NORM.INV(RAND(),INDEX(ModeLT,MATCH(D166,ModeName,0)),Settings!$B$16),0))+IF(C166="Africa",Settings!$B$17,0)</f>
        <v>20</v>
      </c>
      <c r="F166" s="10" t="n">
        <f aca="false">B166+E166</f>
        <v>45765</v>
      </c>
      <c r="G166" s="10" t="n">
        <f aca="false">B166+ROUND(INDEX(ModeLT,MATCH(D166,ModeName,0)),0)+Settings!$B$18</f>
        <v>45768</v>
      </c>
      <c r="H166" s="2" t="n">
        <f aca="false">IF(F166&lt;=G166,1,0)</f>
        <v>1</v>
      </c>
      <c r="I166" s="2" t="n">
        <f aca="true">ROUND(_xlfn.LOGNORM.INV(RAND(),5.3,0.6),0)</f>
        <v>173</v>
      </c>
    </row>
    <row r="167" customFormat="false" ht="15" hidden="false" customHeight="false" outlineLevel="0" collapsed="false">
      <c r="A167" s="2" t="str">
        <f aca="false">"ORD-"&amp;TEXT(10000+ROW()-1,"00000")</f>
        <v>ORD-10166</v>
      </c>
      <c r="B167" s="10" t="n">
        <f aca="false">DATE(2025,1,1)+RANDBETWEEN(0,364)</f>
        <v>45889</v>
      </c>
      <c r="C167" s="2" t="str">
        <f aca="true">INDEX(RegName,MATCH(RAND(),RegCum,1))</f>
        <v>Africa</v>
      </c>
      <c r="D167" s="2" t="str">
        <f aca="true">INDEX(ModeName,MATCH(RAND(),ModeCum,1))</f>
        <v>Air</v>
      </c>
      <c r="E167" s="2" t="n">
        <f aca="true">MAX(1,ROUND(_xlfn.NORM.INV(RAND(),INDEX(ModeLT,MATCH(D167,ModeName,0)),Settings!$B$16),0))+IF(C167="Africa",Settings!$B$17,0)</f>
        <v>7</v>
      </c>
      <c r="F167" s="10" t="n">
        <f aca="false">B167+E167</f>
        <v>45896</v>
      </c>
      <c r="G167" s="10" t="n">
        <f aca="false">B167+ROUND(INDEX(ModeLT,MATCH(D167,ModeName,0)),0)+Settings!$B$18</f>
        <v>45896</v>
      </c>
      <c r="H167" s="2" t="n">
        <f aca="false">IF(F167&lt;=G167,1,0)</f>
        <v>1</v>
      </c>
      <c r="I167" s="2" t="n">
        <f aca="true">ROUND(_xlfn.LOGNORM.INV(RAND(),5.3,0.6),0)</f>
        <v>292</v>
      </c>
    </row>
    <row r="168" customFormat="false" ht="15" hidden="false" customHeight="false" outlineLevel="0" collapsed="false">
      <c r="A168" s="2" t="str">
        <f aca="false">"ORD-"&amp;TEXT(10000+ROW()-1,"00000")</f>
        <v>ORD-10167</v>
      </c>
      <c r="B168" s="10" t="n">
        <f aca="false">DATE(2025,1,1)+RANDBETWEEN(0,364)</f>
        <v>45938</v>
      </c>
      <c r="C168" s="2" t="str">
        <f aca="true">INDEX(RegName,MATCH(RAND(),RegCum,1))</f>
        <v>Middle East</v>
      </c>
      <c r="D168" s="2" t="str">
        <f aca="true">INDEX(ModeName,MATCH(RAND(),ModeCum,1))</f>
        <v>Sea</v>
      </c>
      <c r="E168" s="2" t="n">
        <f aca="true">MAX(1,ROUND(_xlfn.NORM.INV(RAND(),INDEX(ModeLT,MATCH(D168,ModeName,0)),Settings!$B$16),0))+IF(C168="Africa",Settings!$B$17,0)</f>
        <v>19</v>
      </c>
      <c r="F168" s="10" t="n">
        <f aca="false">B168+E168</f>
        <v>45957</v>
      </c>
      <c r="G168" s="10" t="n">
        <f aca="false">B168+ROUND(INDEX(ModeLT,MATCH(D168,ModeName,0)),0)+Settings!$B$18</f>
        <v>45961</v>
      </c>
      <c r="H168" s="2" t="n">
        <f aca="false">IF(F168&lt;=G168,1,0)</f>
        <v>1</v>
      </c>
      <c r="I168" s="2" t="n">
        <f aca="true">ROUND(_xlfn.LOGNORM.INV(RAND(),5.3,0.6),0)</f>
        <v>244</v>
      </c>
    </row>
    <row r="169" customFormat="false" ht="15" hidden="false" customHeight="false" outlineLevel="0" collapsed="false">
      <c r="A169" s="2" t="str">
        <f aca="false">"ORD-"&amp;TEXT(10000+ROW()-1,"00000")</f>
        <v>ORD-10168</v>
      </c>
      <c r="B169" s="10" t="n">
        <f aca="false">DATE(2025,1,1)+RANDBETWEEN(0,364)</f>
        <v>45825</v>
      </c>
      <c r="C169" s="2" t="str">
        <f aca="true">INDEX(RegName,MATCH(RAND(),RegCum,1))</f>
        <v>Europe</v>
      </c>
      <c r="D169" s="2" t="str">
        <f aca="true">INDEX(ModeName,MATCH(RAND(),ModeCum,1))</f>
        <v>Sea</v>
      </c>
      <c r="E169" s="2" t="n">
        <f aca="true">MAX(1,ROUND(_xlfn.NORM.INV(RAND(),INDEX(ModeLT,MATCH(D169,ModeName,0)),Settings!$B$16),0))+IF(C169="Africa",Settings!$B$17,0)</f>
        <v>21</v>
      </c>
      <c r="F169" s="10" t="n">
        <f aca="false">B169+E169</f>
        <v>45846</v>
      </c>
      <c r="G169" s="10" t="n">
        <f aca="false">B169+ROUND(INDEX(ModeLT,MATCH(D169,ModeName,0)),0)+Settings!$B$18</f>
        <v>45848</v>
      </c>
      <c r="H169" s="2" t="n">
        <f aca="false">IF(F169&lt;=G169,1,0)</f>
        <v>1</v>
      </c>
      <c r="I169" s="2" t="n">
        <f aca="true">ROUND(_xlfn.LOGNORM.INV(RAND(),5.3,0.6),0)</f>
        <v>352</v>
      </c>
    </row>
    <row r="170" customFormat="false" ht="15" hidden="false" customHeight="false" outlineLevel="0" collapsed="false">
      <c r="A170" s="2" t="str">
        <f aca="false">"ORD-"&amp;TEXT(10000+ROW()-1,"00000")</f>
        <v>ORD-10169</v>
      </c>
      <c r="B170" s="10" t="n">
        <f aca="false">DATE(2025,1,1)+RANDBETWEEN(0,364)</f>
        <v>45775</v>
      </c>
      <c r="C170" s="2" t="str">
        <f aca="true">INDEX(RegName,MATCH(RAND(),RegCum,1))</f>
        <v>Asia-Pacific</v>
      </c>
      <c r="D170" s="2" t="str">
        <f aca="true">INDEX(ModeName,MATCH(RAND(),ModeCum,1))</f>
        <v>Road</v>
      </c>
      <c r="E170" s="2" t="n">
        <f aca="true">MAX(1,ROUND(_xlfn.NORM.INV(RAND(),INDEX(ModeLT,MATCH(D170,ModeName,0)),Settings!$B$16),0))+IF(C170="Africa",Settings!$B$17,0)</f>
        <v>6</v>
      </c>
      <c r="F170" s="10" t="n">
        <f aca="false">B170+E170</f>
        <v>45781</v>
      </c>
      <c r="G170" s="10" t="n">
        <f aca="false">B170+ROUND(INDEX(ModeLT,MATCH(D170,ModeName,0)),0)+Settings!$B$18</f>
        <v>45784</v>
      </c>
      <c r="H170" s="2" t="n">
        <f aca="false">IF(F170&lt;=G170,1,0)</f>
        <v>1</v>
      </c>
      <c r="I170" s="2" t="n">
        <f aca="true">ROUND(_xlfn.LOGNORM.INV(RAND(),5.3,0.6),0)</f>
        <v>174</v>
      </c>
    </row>
    <row r="171" customFormat="false" ht="15" hidden="false" customHeight="false" outlineLevel="0" collapsed="false">
      <c r="A171" s="2" t="str">
        <f aca="false">"ORD-"&amp;TEXT(10000+ROW()-1,"00000")</f>
        <v>ORD-10170</v>
      </c>
      <c r="B171" s="10" t="n">
        <f aca="false">DATE(2025,1,1)+RANDBETWEEN(0,364)</f>
        <v>45714</v>
      </c>
      <c r="C171" s="2" t="str">
        <f aca="true">INDEX(RegName,MATCH(RAND(),RegCum,1))</f>
        <v>Asia-Pacific</v>
      </c>
      <c r="D171" s="2" t="str">
        <f aca="true">INDEX(ModeName,MATCH(RAND(),ModeCum,1))</f>
        <v>Road</v>
      </c>
      <c r="E171" s="2" t="n">
        <f aca="true">MAX(1,ROUND(_xlfn.NORM.INV(RAND(),INDEX(ModeLT,MATCH(D171,ModeName,0)),Settings!$B$16),0))+IF(C171="Africa",Settings!$B$17,0)</f>
        <v>7</v>
      </c>
      <c r="F171" s="10" t="n">
        <f aca="false">B171+E171</f>
        <v>45721</v>
      </c>
      <c r="G171" s="10" t="n">
        <f aca="false">B171+ROUND(INDEX(ModeLT,MATCH(D171,ModeName,0)),0)+Settings!$B$18</f>
        <v>45723</v>
      </c>
      <c r="H171" s="2" t="n">
        <f aca="false">IF(F171&lt;=G171,1,0)</f>
        <v>1</v>
      </c>
      <c r="I171" s="2" t="n">
        <f aca="true">ROUND(_xlfn.LOGNORM.INV(RAND(),5.3,0.6),0)</f>
        <v>102</v>
      </c>
    </row>
    <row r="172" customFormat="false" ht="15" hidden="false" customHeight="false" outlineLevel="0" collapsed="false">
      <c r="A172" s="2" t="str">
        <f aca="false">"ORD-"&amp;TEXT(10000+ROW()-1,"00000")</f>
        <v>ORD-10171</v>
      </c>
      <c r="B172" s="10" t="n">
        <f aca="false">DATE(2025,1,1)+RANDBETWEEN(0,364)</f>
        <v>45735</v>
      </c>
      <c r="C172" s="2" t="str">
        <f aca="true">INDEX(RegName,MATCH(RAND(),RegCum,1))</f>
        <v>Americas</v>
      </c>
      <c r="D172" s="2" t="str">
        <f aca="true">INDEX(ModeName,MATCH(RAND(),ModeCum,1))</f>
        <v>Road</v>
      </c>
      <c r="E172" s="2" t="n">
        <f aca="true">MAX(1,ROUND(_xlfn.NORM.INV(RAND(),INDEX(ModeLT,MATCH(D172,ModeName,0)),Settings!$B$16),0))+IF(C172="Africa",Settings!$B$17,0)</f>
        <v>6</v>
      </c>
      <c r="F172" s="10" t="n">
        <f aca="false">B172+E172</f>
        <v>45741</v>
      </c>
      <c r="G172" s="10" t="n">
        <f aca="false">B172+ROUND(INDEX(ModeLT,MATCH(D172,ModeName,0)),0)+Settings!$B$18</f>
        <v>45744</v>
      </c>
      <c r="H172" s="2" t="n">
        <f aca="false">IF(F172&lt;=G172,1,0)</f>
        <v>1</v>
      </c>
      <c r="I172" s="2" t="n">
        <f aca="true">ROUND(_xlfn.LOGNORM.INV(RAND(),5.3,0.6),0)</f>
        <v>195</v>
      </c>
    </row>
    <row r="173" customFormat="false" ht="15" hidden="false" customHeight="false" outlineLevel="0" collapsed="false">
      <c r="A173" s="2" t="str">
        <f aca="false">"ORD-"&amp;TEXT(10000+ROW()-1,"00000")</f>
        <v>ORD-10172</v>
      </c>
      <c r="B173" s="10" t="n">
        <f aca="false">DATE(2025,1,1)+RANDBETWEEN(0,364)</f>
        <v>45829</v>
      </c>
      <c r="C173" s="2" t="str">
        <f aca="true">INDEX(RegName,MATCH(RAND(),RegCum,1))</f>
        <v>Americas</v>
      </c>
      <c r="D173" s="2" t="str">
        <f aca="true">INDEX(ModeName,MATCH(RAND(),ModeCum,1))</f>
        <v>Road</v>
      </c>
      <c r="E173" s="2" t="n">
        <f aca="true">MAX(1,ROUND(_xlfn.NORM.INV(RAND(),INDEX(ModeLT,MATCH(D173,ModeName,0)),Settings!$B$16),0))+IF(C173="Africa",Settings!$B$17,0)</f>
        <v>8</v>
      </c>
      <c r="F173" s="10" t="n">
        <f aca="false">B173+E173</f>
        <v>45837</v>
      </c>
      <c r="G173" s="10" t="n">
        <f aca="false">B173+ROUND(INDEX(ModeLT,MATCH(D173,ModeName,0)),0)+Settings!$B$18</f>
        <v>45838</v>
      </c>
      <c r="H173" s="2" t="n">
        <f aca="false">IF(F173&lt;=G173,1,0)</f>
        <v>1</v>
      </c>
      <c r="I173" s="2" t="n">
        <f aca="true">ROUND(_xlfn.LOGNORM.INV(RAND(),5.3,0.6),0)</f>
        <v>84</v>
      </c>
    </row>
    <row r="174" customFormat="false" ht="15" hidden="false" customHeight="false" outlineLevel="0" collapsed="false">
      <c r="A174" s="2" t="str">
        <f aca="false">"ORD-"&amp;TEXT(10000+ROW()-1,"00000")</f>
        <v>ORD-10173</v>
      </c>
      <c r="B174" s="10" t="n">
        <f aca="false">DATE(2025,1,1)+RANDBETWEEN(0,364)</f>
        <v>45894</v>
      </c>
      <c r="C174" s="2" t="str">
        <f aca="true">INDEX(RegName,MATCH(RAND(),RegCum,1))</f>
        <v>Americas</v>
      </c>
      <c r="D174" s="2" t="str">
        <f aca="true">INDEX(ModeName,MATCH(RAND(),ModeCum,1))</f>
        <v>Sea</v>
      </c>
      <c r="E174" s="2" t="n">
        <f aca="true">MAX(1,ROUND(_xlfn.NORM.INV(RAND(),INDEX(ModeLT,MATCH(D174,ModeName,0)),Settings!$B$16),0))+IF(C174="Africa",Settings!$B$17,0)</f>
        <v>22</v>
      </c>
      <c r="F174" s="10" t="n">
        <f aca="false">B174+E174</f>
        <v>45916</v>
      </c>
      <c r="G174" s="10" t="n">
        <f aca="false">B174+ROUND(INDEX(ModeLT,MATCH(D174,ModeName,0)),0)+Settings!$B$18</f>
        <v>45917</v>
      </c>
      <c r="H174" s="2" t="n">
        <f aca="false">IF(F174&lt;=G174,1,0)</f>
        <v>1</v>
      </c>
      <c r="I174" s="2" t="n">
        <f aca="true">ROUND(_xlfn.LOGNORM.INV(RAND(),5.3,0.6),0)</f>
        <v>204</v>
      </c>
    </row>
    <row r="175" customFormat="false" ht="15" hidden="false" customHeight="false" outlineLevel="0" collapsed="false">
      <c r="A175" s="2" t="str">
        <f aca="false">"ORD-"&amp;TEXT(10000+ROW()-1,"00000")</f>
        <v>ORD-10174</v>
      </c>
      <c r="B175" s="10" t="n">
        <f aca="false">DATE(2025,1,1)+RANDBETWEEN(0,364)</f>
        <v>45804</v>
      </c>
      <c r="C175" s="2" t="str">
        <f aca="true">INDEX(RegName,MATCH(RAND(),RegCum,1))</f>
        <v>Americas</v>
      </c>
      <c r="D175" s="2" t="str">
        <f aca="true">INDEX(ModeName,MATCH(RAND(),ModeCum,1))</f>
        <v>Sea</v>
      </c>
      <c r="E175" s="2" t="n">
        <f aca="true">MAX(1,ROUND(_xlfn.NORM.INV(RAND(),INDEX(ModeLT,MATCH(D175,ModeName,0)),Settings!$B$16),0))+IF(C175="Africa",Settings!$B$17,0)</f>
        <v>21</v>
      </c>
      <c r="F175" s="10" t="n">
        <f aca="false">B175+E175</f>
        <v>45825</v>
      </c>
      <c r="G175" s="10" t="n">
        <f aca="false">B175+ROUND(INDEX(ModeLT,MATCH(D175,ModeName,0)),0)+Settings!$B$18</f>
        <v>45827</v>
      </c>
      <c r="H175" s="2" t="n">
        <f aca="false">IF(F175&lt;=G175,1,0)</f>
        <v>1</v>
      </c>
      <c r="I175" s="2" t="n">
        <f aca="true">ROUND(_xlfn.LOGNORM.INV(RAND(),5.3,0.6),0)</f>
        <v>267</v>
      </c>
    </row>
    <row r="176" customFormat="false" ht="15" hidden="false" customHeight="false" outlineLevel="0" collapsed="false">
      <c r="A176" s="2" t="str">
        <f aca="false">"ORD-"&amp;TEXT(10000+ROW()-1,"00000")</f>
        <v>ORD-10175</v>
      </c>
      <c r="B176" s="10" t="n">
        <f aca="false">DATE(2025,1,1)+RANDBETWEEN(0,364)</f>
        <v>45815</v>
      </c>
      <c r="C176" s="2" t="str">
        <f aca="true">INDEX(RegName,MATCH(RAND(),RegCum,1))</f>
        <v>Americas</v>
      </c>
      <c r="D176" s="2" t="str">
        <f aca="true">INDEX(ModeName,MATCH(RAND(),ModeCum,1))</f>
        <v>Road</v>
      </c>
      <c r="E176" s="2" t="n">
        <f aca="true">MAX(1,ROUND(_xlfn.NORM.INV(RAND(),INDEX(ModeLT,MATCH(D176,ModeName,0)),Settings!$B$16),0))+IF(C176="Africa",Settings!$B$17,0)</f>
        <v>5</v>
      </c>
      <c r="F176" s="10" t="n">
        <f aca="false">B176+E176</f>
        <v>45820</v>
      </c>
      <c r="G176" s="10" t="n">
        <f aca="false">B176+ROUND(INDEX(ModeLT,MATCH(D176,ModeName,0)),0)+Settings!$B$18</f>
        <v>45824</v>
      </c>
      <c r="H176" s="2" t="n">
        <f aca="false">IF(F176&lt;=G176,1,0)</f>
        <v>1</v>
      </c>
      <c r="I176" s="2" t="n">
        <f aca="true">ROUND(_xlfn.LOGNORM.INV(RAND(),5.3,0.6),0)</f>
        <v>110</v>
      </c>
    </row>
    <row r="177" customFormat="false" ht="15" hidden="false" customHeight="false" outlineLevel="0" collapsed="false">
      <c r="A177" s="2" t="str">
        <f aca="false">"ORD-"&amp;TEXT(10000+ROW()-1,"00000")</f>
        <v>ORD-10176</v>
      </c>
      <c r="B177" s="10" t="n">
        <f aca="false">DATE(2025,1,1)+RANDBETWEEN(0,364)</f>
        <v>45840</v>
      </c>
      <c r="C177" s="2" t="str">
        <f aca="true">INDEX(RegName,MATCH(RAND(),RegCum,1))</f>
        <v>Asia-Pacific</v>
      </c>
      <c r="D177" s="2" t="str">
        <f aca="true">INDEX(ModeName,MATCH(RAND(),ModeCum,1))</f>
        <v>Air</v>
      </c>
      <c r="E177" s="2" t="n">
        <f aca="true">MAX(1,ROUND(_xlfn.NORM.INV(RAND(),INDEX(ModeLT,MATCH(D177,ModeName,0)),Settings!$B$16),0))+IF(C177="Africa",Settings!$B$17,0)</f>
        <v>6</v>
      </c>
      <c r="F177" s="10" t="n">
        <f aca="false">B177+E177</f>
        <v>45846</v>
      </c>
      <c r="G177" s="10" t="n">
        <f aca="false">B177+ROUND(INDEX(ModeLT,MATCH(D177,ModeName,0)),0)+Settings!$B$18</f>
        <v>45847</v>
      </c>
      <c r="H177" s="2" t="n">
        <f aca="false">IF(F177&lt;=G177,1,0)</f>
        <v>1</v>
      </c>
      <c r="I177" s="2" t="n">
        <f aca="true">ROUND(_xlfn.LOGNORM.INV(RAND(),5.3,0.6),0)</f>
        <v>133</v>
      </c>
    </row>
    <row r="178" customFormat="false" ht="15" hidden="false" customHeight="false" outlineLevel="0" collapsed="false">
      <c r="A178" s="2" t="str">
        <f aca="false">"ORD-"&amp;TEXT(10000+ROW()-1,"00000")</f>
        <v>ORD-10177</v>
      </c>
      <c r="B178" s="10" t="n">
        <f aca="false">DATE(2025,1,1)+RANDBETWEEN(0,364)</f>
        <v>45986</v>
      </c>
      <c r="C178" s="2" t="str">
        <f aca="true">INDEX(RegName,MATCH(RAND(),RegCum,1))</f>
        <v>Asia-Pacific</v>
      </c>
      <c r="D178" s="2" t="str">
        <f aca="true">INDEX(ModeName,MATCH(RAND(),ModeCum,1))</f>
        <v>Sea</v>
      </c>
      <c r="E178" s="2" t="n">
        <f aca="true">MAX(1,ROUND(_xlfn.NORM.INV(RAND(),INDEX(ModeLT,MATCH(D178,ModeName,0)),Settings!$B$16),0))+IF(C178="Africa",Settings!$B$17,0)</f>
        <v>19</v>
      </c>
      <c r="F178" s="10" t="n">
        <f aca="false">B178+E178</f>
        <v>46005</v>
      </c>
      <c r="G178" s="10" t="n">
        <f aca="false">B178+ROUND(INDEX(ModeLT,MATCH(D178,ModeName,0)),0)+Settings!$B$18</f>
        <v>46009</v>
      </c>
      <c r="H178" s="2" t="n">
        <f aca="false">IF(F178&lt;=G178,1,0)</f>
        <v>1</v>
      </c>
      <c r="I178" s="2" t="n">
        <f aca="true">ROUND(_xlfn.LOGNORM.INV(RAND(),5.3,0.6),0)</f>
        <v>248</v>
      </c>
    </row>
    <row r="179" customFormat="false" ht="15" hidden="false" customHeight="false" outlineLevel="0" collapsed="false">
      <c r="A179" s="2" t="str">
        <f aca="false">"ORD-"&amp;TEXT(10000+ROW()-1,"00000")</f>
        <v>ORD-10178</v>
      </c>
      <c r="B179" s="10" t="n">
        <f aca="false">DATE(2025,1,1)+RANDBETWEEN(0,364)</f>
        <v>45857</v>
      </c>
      <c r="C179" s="2" t="str">
        <f aca="true">INDEX(RegName,MATCH(RAND(),RegCum,1))</f>
        <v>Americas</v>
      </c>
      <c r="D179" s="2" t="str">
        <f aca="true">INDEX(ModeName,MATCH(RAND(),ModeCum,1))</f>
        <v>Sea</v>
      </c>
      <c r="E179" s="2" t="n">
        <f aca="true">MAX(1,ROUND(_xlfn.NORM.INV(RAND(),INDEX(ModeLT,MATCH(D179,ModeName,0)),Settings!$B$16),0))+IF(C179="Africa",Settings!$B$17,0)</f>
        <v>22</v>
      </c>
      <c r="F179" s="10" t="n">
        <f aca="false">B179+E179</f>
        <v>45879</v>
      </c>
      <c r="G179" s="10" t="n">
        <f aca="false">B179+ROUND(INDEX(ModeLT,MATCH(D179,ModeName,0)),0)+Settings!$B$18</f>
        <v>45880</v>
      </c>
      <c r="H179" s="2" t="n">
        <f aca="false">IF(F179&lt;=G179,1,0)</f>
        <v>1</v>
      </c>
      <c r="I179" s="2" t="n">
        <f aca="true">ROUND(_xlfn.LOGNORM.INV(RAND(),5.3,0.6),0)</f>
        <v>244</v>
      </c>
    </row>
    <row r="180" customFormat="false" ht="15" hidden="false" customHeight="false" outlineLevel="0" collapsed="false">
      <c r="A180" s="2" t="str">
        <f aca="false">"ORD-"&amp;TEXT(10000+ROW()-1,"00000")</f>
        <v>ORD-10179</v>
      </c>
      <c r="B180" s="10" t="n">
        <f aca="false">DATE(2025,1,1)+RANDBETWEEN(0,364)</f>
        <v>45921</v>
      </c>
      <c r="C180" s="2" t="str">
        <f aca="true">INDEX(RegName,MATCH(RAND(),RegCum,1))</f>
        <v>Europe</v>
      </c>
      <c r="D180" s="2" t="str">
        <f aca="true">INDEX(ModeName,MATCH(RAND(),ModeCum,1))</f>
        <v>Sea</v>
      </c>
      <c r="E180" s="2" t="n">
        <f aca="true">MAX(1,ROUND(_xlfn.NORM.INV(RAND(),INDEX(ModeLT,MATCH(D180,ModeName,0)),Settings!$B$16),0))+IF(C180="Africa",Settings!$B$17,0)</f>
        <v>21</v>
      </c>
      <c r="F180" s="10" t="n">
        <f aca="false">B180+E180</f>
        <v>45942</v>
      </c>
      <c r="G180" s="10" t="n">
        <f aca="false">B180+ROUND(INDEX(ModeLT,MATCH(D180,ModeName,0)),0)+Settings!$B$18</f>
        <v>45944</v>
      </c>
      <c r="H180" s="2" t="n">
        <f aca="false">IF(F180&lt;=G180,1,0)</f>
        <v>1</v>
      </c>
      <c r="I180" s="2" t="n">
        <f aca="true">ROUND(_xlfn.LOGNORM.INV(RAND(),5.3,0.6),0)</f>
        <v>133</v>
      </c>
    </row>
    <row r="181" customFormat="false" ht="15" hidden="false" customHeight="false" outlineLevel="0" collapsed="false">
      <c r="A181" s="2" t="str">
        <f aca="false">"ORD-"&amp;TEXT(10000+ROW()-1,"00000")</f>
        <v>ORD-10180</v>
      </c>
      <c r="B181" s="10" t="n">
        <f aca="false">DATE(2025,1,1)+RANDBETWEEN(0,364)</f>
        <v>45658</v>
      </c>
      <c r="C181" s="2" t="str">
        <f aca="true">INDEX(RegName,MATCH(RAND(),RegCum,1))</f>
        <v>Europe</v>
      </c>
      <c r="D181" s="2" t="str">
        <f aca="true">INDEX(ModeName,MATCH(RAND(),ModeCum,1))</f>
        <v>Sea</v>
      </c>
      <c r="E181" s="2" t="n">
        <f aca="true">MAX(1,ROUND(_xlfn.NORM.INV(RAND(),INDEX(ModeLT,MATCH(D181,ModeName,0)),Settings!$B$16),0))+IF(C181="Africa",Settings!$B$17,0)</f>
        <v>24</v>
      </c>
      <c r="F181" s="10" t="n">
        <f aca="false">B181+E181</f>
        <v>45682</v>
      </c>
      <c r="G181" s="10" t="n">
        <f aca="false">B181+ROUND(INDEX(ModeLT,MATCH(D181,ModeName,0)),0)+Settings!$B$18</f>
        <v>45681</v>
      </c>
      <c r="H181" s="2" t="n">
        <f aca="false">IF(F181&lt;=G181,1,0)</f>
        <v>0</v>
      </c>
      <c r="I181" s="2" t="n">
        <f aca="true">ROUND(_xlfn.LOGNORM.INV(RAND(),5.3,0.6),0)</f>
        <v>220</v>
      </c>
    </row>
    <row r="182" customFormat="false" ht="15" hidden="false" customHeight="false" outlineLevel="0" collapsed="false">
      <c r="A182" s="2" t="str">
        <f aca="false">"ORD-"&amp;TEXT(10000+ROW()-1,"00000")</f>
        <v>ORD-10181</v>
      </c>
      <c r="B182" s="10" t="n">
        <f aca="false">DATE(2025,1,1)+RANDBETWEEN(0,364)</f>
        <v>45784</v>
      </c>
      <c r="C182" s="2" t="str">
        <f aca="true">INDEX(RegName,MATCH(RAND(),RegCum,1))</f>
        <v>Africa</v>
      </c>
      <c r="D182" s="2" t="str">
        <f aca="true">INDEX(ModeName,MATCH(RAND(),ModeCum,1))</f>
        <v>Sea</v>
      </c>
      <c r="E182" s="2" t="n">
        <f aca="true">MAX(1,ROUND(_xlfn.NORM.INV(RAND(),INDEX(ModeLT,MATCH(D182,ModeName,0)),Settings!$B$16),0))+IF(C182="Africa",Settings!$B$17,0)</f>
        <v>24</v>
      </c>
      <c r="F182" s="10" t="n">
        <f aca="false">B182+E182</f>
        <v>45808</v>
      </c>
      <c r="G182" s="10" t="n">
        <f aca="false">B182+ROUND(INDEX(ModeLT,MATCH(D182,ModeName,0)),0)+Settings!$B$18</f>
        <v>45807</v>
      </c>
      <c r="H182" s="2" t="n">
        <f aca="false">IF(F182&lt;=G182,1,0)</f>
        <v>0</v>
      </c>
      <c r="I182" s="2" t="n">
        <f aca="true">ROUND(_xlfn.LOGNORM.INV(RAND(),5.3,0.6),0)</f>
        <v>408</v>
      </c>
    </row>
    <row r="183" customFormat="false" ht="15" hidden="false" customHeight="false" outlineLevel="0" collapsed="false">
      <c r="A183" s="2" t="str">
        <f aca="false">"ORD-"&amp;TEXT(10000+ROW()-1,"00000")</f>
        <v>ORD-10182</v>
      </c>
      <c r="B183" s="10" t="n">
        <f aca="false">DATE(2025,1,1)+RANDBETWEEN(0,364)</f>
        <v>45855</v>
      </c>
      <c r="C183" s="2" t="str">
        <f aca="true">INDEX(RegName,MATCH(RAND(),RegCum,1))</f>
        <v>Americas</v>
      </c>
      <c r="D183" s="2" t="str">
        <f aca="true">INDEX(ModeName,MATCH(RAND(),ModeCum,1))</f>
        <v>Road</v>
      </c>
      <c r="E183" s="2" t="n">
        <f aca="true">MAX(1,ROUND(_xlfn.NORM.INV(RAND(),INDEX(ModeLT,MATCH(D183,ModeName,0)),Settings!$B$16),0))+IF(C183="Africa",Settings!$B$17,0)</f>
        <v>7</v>
      </c>
      <c r="F183" s="10" t="n">
        <f aca="false">B183+E183</f>
        <v>45862</v>
      </c>
      <c r="G183" s="10" t="n">
        <f aca="false">B183+ROUND(INDEX(ModeLT,MATCH(D183,ModeName,0)),0)+Settings!$B$18</f>
        <v>45864</v>
      </c>
      <c r="H183" s="2" t="n">
        <f aca="false">IF(F183&lt;=G183,1,0)</f>
        <v>1</v>
      </c>
      <c r="I183" s="2" t="n">
        <f aca="true">ROUND(_xlfn.LOGNORM.INV(RAND(),5.3,0.6),0)</f>
        <v>205</v>
      </c>
    </row>
    <row r="184" customFormat="false" ht="15" hidden="false" customHeight="false" outlineLevel="0" collapsed="false">
      <c r="A184" s="2" t="str">
        <f aca="false">"ORD-"&amp;TEXT(10000+ROW()-1,"00000")</f>
        <v>ORD-10183</v>
      </c>
      <c r="B184" s="10" t="n">
        <f aca="false">DATE(2025,1,1)+RANDBETWEEN(0,364)</f>
        <v>45907</v>
      </c>
      <c r="C184" s="2" t="str">
        <f aca="true">INDEX(RegName,MATCH(RAND(),RegCum,1))</f>
        <v>Americas</v>
      </c>
      <c r="D184" s="2" t="str">
        <f aca="true">INDEX(ModeName,MATCH(RAND(),ModeCum,1))</f>
        <v>Rail</v>
      </c>
      <c r="E184" s="2" t="n">
        <f aca="true">MAX(1,ROUND(_xlfn.NORM.INV(RAND(),INDEX(ModeLT,MATCH(D184,ModeName,0)),Settings!$B$16),0))+IF(C184="Africa",Settings!$B$17,0)</f>
        <v>11</v>
      </c>
      <c r="F184" s="10" t="n">
        <f aca="false">B184+E184</f>
        <v>45918</v>
      </c>
      <c r="G184" s="10" t="n">
        <f aca="false">B184+ROUND(INDEX(ModeLT,MATCH(D184,ModeName,0)),0)+Settings!$B$18</f>
        <v>45920</v>
      </c>
      <c r="H184" s="2" t="n">
        <f aca="false">IF(F184&lt;=G184,1,0)</f>
        <v>1</v>
      </c>
      <c r="I184" s="2" t="n">
        <f aca="true">ROUND(_xlfn.LOGNORM.INV(RAND(),5.3,0.6),0)</f>
        <v>92</v>
      </c>
    </row>
    <row r="185" customFormat="false" ht="15" hidden="false" customHeight="false" outlineLevel="0" collapsed="false">
      <c r="A185" s="2" t="str">
        <f aca="false">"ORD-"&amp;TEXT(10000+ROW()-1,"00000")</f>
        <v>ORD-10184</v>
      </c>
      <c r="B185" s="10" t="n">
        <f aca="false">DATE(2025,1,1)+RANDBETWEEN(0,364)</f>
        <v>45961</v>
      </c>
      <c r="C185" s="2" t="str">
        <f aca="true">INDEX(RegName,MATCH(RAND(),RegCum,1))</f>
        <v>Americas</v>
      </c>
      <c r="D185" s="2" t="str">
        <f aca="true">INDEX(ModeName,MATCH(RAND(),ModeCum,1))</f>
        <v>Sea</v>
      </c>
      <c r="E185" s="2" t="n">
        <f aca="true">MAX(1,ROUND(_xlfn.NORM.INV(RAND(),INDEX(ModeLT,MATCH(D185,ModeName,0)),Settings!$B$16),0))+IF(C185="Africa",Settings!$B$17,0)</f>
        <v>22</v>
      </c>
      <c r="F185" s="10" t="n">
        <f aca="false">B185+E185</f>
        <v>45983</v>
      </c>
      <c r="G185" s="10" t="n">
        <f aca="false">B185+ROUND(INDEX(ModeLT,MATCH(D185,ModeName,0)),0)+Settings!$B$18</f>
        <v>45984</v>
      </c>
      <c r="H185" s="2" t="n">
        <f aca="false">IF(F185&lt;=G185,1,0)</f>
        <v>1</v>
      </c>
      <c r="I185" s="2" t="n">
        <f aca="true">ROUND(_xlfn.LOGNORM.INV(RAND(),5.3,0.6),0)</f>
        <v>192</v>
      </c>
    </row>
    <row r="186" customFormat="false" ht="15" hidden="false" customHeight="false" outlineLevel="0" collapsed="false">
      <c r="A186" s="2" t="str">
        <f aca="false">"ORD-"&amp;TEXT(10000+ROW()-1,"00000")</f>
        <v>ORD-10185</v>
      </c>
      <c r="B186" s="10" t="n">
        <f aca="false">DATE(2025,1,1)+RANDBETWEEN(0,364)</f>
        <v>45692</v>
      </c>
      <c r="C186" s="2" t="str">
        <f aca="true">INDEX(RegName,MATCH(RAND(),RegCum,1))</f>
        <v>Americas</v>
      </c>
      <c r="D186" s="2" t="str">
        <f aca="true">INDEX(ModeName,MATCH(RAND(),ModeCum,1))</f>
        <v>Road</v>
      </c>
      <c r="E186" s="2" t="n">
        <f aca="true">MAX(1,ROUND(_xlfn.NORM.INV(RAND(),INDEX(ModeLT,MATCH(D186,ModeName,0)),Settings!$B$16),0))+IF(C186="Africa",Settings!$B$17,0)</f>
        <v>7</v>
      </c>
      <c r="F186" s="10" t="n">
        <f aca="false">B186+E186</f>
        <v>45699</v>
      </c>
      <c r="G186" s="10" t="n">
        <f aca="false">B186+ROUND(INDEX(ModeLT,MATCH(D186,ModeName,0)),0)+Settings!$B$18</f>
        <v>45701</v>
      </c>
      <c r="H186" s="2" t="n">
        <f aca="false">IF(F186&lt;=G186,1,0)</f>
        <v>1</v>
      </c>
      <c r="I186" s="2" t="n">
        <f aca="true">ROUND(_xlfn.LOGNORM.INV(RAND(),5.3,0.6),0)</f>
        <v>384</v>
      </c>
    </row>
    <row r="187" customFormat="false" ht="15" hidden="false" customHeight="false" outlineLevel="0" collapsed="false">
      <c r="A187" s="2" t="str">
        <f aca="false">"ORD-"&amp;TEXT(10000+ROW()-1,"00000")</f>
        <v>ORD-10186</v>
      </c>
      <c r="B187" s="10" t="n">
        <f aca="false">DATE(2025,1,1)+RANDBETWEEN(0,364)</f>
        <v>45956</v>
      </c>
      <c r="C187" s="2" t="str">
        <f aca="true">INDEX(RegName,MATCH(RAND(),RegCum,1))</f>
        <v>Asia-Pacific</v>
      </c>
      <c r="D187" s="2" t="str">
        <f aca="true">INDEX(ModeName,MATCH(RAND(),ModeCum,1))</f>
        <v>Air</v>
      </c>
      <c r="E187" s="2" t="n">
        <f aca="true">MAX(1,ROUND(_xlfn.NORM.INV(RAND(),INDEX(ModeLT,MATCH(D187,ModeName,0)),Settings!$B$16),0))+IF(C187="Africa",Settings!$B$17,0)</f>
        <v>3</v>
      </c>
      <c r="F187" s="10" t="n">
        <f aca="false">B187+E187</f>
        <v>45959</v>
      </c>
      <c r="G187" s="10" t="n">
        <f aca="false">B187+ROUND(INDEX(ModeLT,MATCH(D187,ModeName,0)),0)+Settings!$B$18</f>
        <v>45963</v>
      </c>
      <c r="H187" s="2" t="n">
        <f aca="false">IF(F187&lt;=G187,1,0)</f>
        <v>1</v>
      </c>
      <c r="I187" s="2" t="n">
        <f aca="true">ROUND(_xlfn.LOGNORM.INV(RAND(),5.3,0.6),0)</f>
        <v>125</v>
      </c>
    </row>
    <row r="188" customFormat="false" ht="15" hidden="false" customHeight="false" outlineLevel="0" collapsed="false">
      <c r="A188" s="2" t="str">
        <f aca="false">"ORD-"&amp;TEXT(10000+ROW()-1,"00000")</f>
        <v>ORD-10187</v>
      </c>
      <c r="B188" s="10" t="n">
        <f aca="false">DATE(2025,1,1)+RANDBETWEEN(0,364)</f>
        <v>45949</v>
      </c>
      <c r="C188" s="2" t="str">
        <f aca="true">INDEX(RegName,MATCH(RAND(),RegCum,1))</f>
        <v>Europe</v>
      </c>
      <c r="D188" s="2" t="str">
        <f aca="true">INDEX(ModeName,MATCH(RAND(),ModeCum,1))</f>
        <v>Air</v>
      </c>
      <c r="E188" s="2" t="n">
        <f aca="true">MAX(1,ROUND(_xlfn.NORM.INV(RAND(),INDEX(ModeLT,MATCH(D188,ModeName,0)),Settings!$B$16),0))+IF(C188="Africa",Settings!$B$17,0)</f>
        <v>5</v>
      </c>
      <c r="F188" s="10" t="n">
        <f aca="false">B188+E188</f>
        <v>45954</v>
      </c>
      <c r="G188" s="10" t="n">
        <f aca="false">B188+ROUND(INDEX(ModeLT,MATCH(D188,ModeName,0)),0)+Settings!$B$18</f>
        <v>45956</v>
      </c>
      <c r="H188" s="2" t="n">
        <f aca="false">IF(F188&lt;=G188,1,0)</f>
        <v>1</v>
      </c>
      <c r="I188" s="2" t="n">
        <f aca="true">ROUND(_xlfn.LOGNORM.INV(RAND(),5.3,0.6),0)</f>
        <v>65</v>
      </c>
    </row>
    <row r="189" customFormat="false" ht="15" hidden="false" customHeight="false" outlineLevel="0" collapsed="false">
      <c r="A189" s="2" t="str">
        <f aca="false">"ORD-"&amp;TEXT(10000+ROW()-1,"00000")</f>
        <v>ORD-10188</v>
      </c>
      <c r="B189" s="10" t="n">
        <f aca="false">DATE(2025,1,1)+RANDBETWEEN(0,364)</f>
        <v>45815</v>
      </c>
      <c r="C189" s="2" t="str">
        <f aca="true">INDEX(RegName,MATCH(RAND(),RegCum,1))</f>
        <v>Americas</v>
      </c>
      <c r="D189" s="2" t="str">
        <f aca="true">INDEX(ModeName,MATCH(RAND(),ModeCum,1))</f>
        <v>Road</v>
      </c>
      <c r="E189" s="2" t="n">
        <f aca="true">MAX(1,ROUND(_xlfn.NORM.INV(RAND(),INDEX(ModeLT,MATCH(D189,ModeName,0)),Settings!$B$16),0))+IF(C189="Africa",Settings!$B$17,0)</f>
        <v>8</v>
      </c>
      <c r="F189" s="10" t="n">
        <f aca="false">B189+E189</f>
        <v>45823</v>
      </c>
      <c r="G189" s="10" t="n">
        <f aca="false">B189+ROUND(INDEX(ModeLT,MATCH(D189,ModeName,0)),0)+Settings!$B$18</f>
        <v>45824</v>
      </c>
      <c r="H189" s="2" t="n">
        <f aca="false">IF(F189&lt;=G189,1,0)</f>
        <v>1</v>
      </c>
      <c r="I189" s="2" t="n">
        <f aca="true">ROUND(_xlfn.LOGNORM.INV(RAND(),5.3,0.6),0)</f>
        <v>175</v>
      </c>
    </row>
    <row r="190" customFormat="false" ht="15" hidden="false" customHeight="false" outlineLevel="0" collapsed="false">
      <c r="A190" s="2" t="str">
        <f aca="false">"ORD-"&amp;TEXT(10000+ROW()-1,"00000")</f>
        <v>ORD-10189</v>
      </c>
      <c r="B190" s="10" t="n">
        <f aca="false">DATE(2025,1,1)+RANDBETWEEN(0,364)</f>
        <v>45781</v>
      </c>
      <c r="C190" s="2" t="str">
        <f aca="true">INDEX(RegName,MATCH(RAND(),RegCum,1))</f>
        <v>Europe</v>
      </c>
      <c r="D190" s="2" t="str">
        <f aca="true">INDEX(ModeName,MATCH(RAND(),ModeCum,1))</f>
        <v>Rail</v>
      </c>
      <c r="E190" s="2" t="n">
        <f aca="true">MAX(1,ROUND(_xlfn.NORM.INV(RAND(),INDEX(ModeLT,MATCH(D190,ModeName,0)),Settings!$B$16),0))+IF(C190="Africa",Settings!$B$17,0)</f>
        <v>13</v>
      </c>
      <c r="F190" s="10" t="n">
        <f aca="false">B190+E190</f>
        <v>45794</v>
      </c>
      <c r="G190" s="10" t="n">
        <f aca="false">B190+ROUND(INDEX(ModeLT,MATCH(D190,ModeName,0)),0)+Settings!$B$18</f>
        <v>45794</v>
      </c>
      <c r="H190" s="2" t="n">
        <f aca="false">IF(F190&lt;=G190,1,0)</f>
        <v>1</v>
      </c>
      <c r="I190" s="2" t="n">
        <f aca="true">ROUND(_xlfn.LOGNORM.INV(RAND(),5.3,0.6),0)</f>
        <v>89</v>
      </c>
    </row>
    <row r="191" customFormat="false" ht="15" hidden="false" customHeight="false" outlineLevel="0" collapsed="false">
      <c r="A191" s="2" t="str">
        <f aca="false">"ORD-"&amp;TEXT(10000+ROW()-1,"00000")</f>
        <v>ORD-10190</v>
      </c>
      <c r="B191" s="10" t="n">
        <f aca="false">DATE(2025,1,1)+RANDBETWEEN(0,364)</f>
        <v>46019</v>
      </c>
      <c r="C191" s="2" t="str">
        <f aca="true">INDEX(RegName,MATCH(RAND(),RegCum,1))</f>
        <v>Europe</v>
      </c>
      <c r="D191" s="2" t="str">
        <f aca="true">INDEX(ModeName,MATCH(RAND(),ModeCum,1))</f>
        <v>Sea</v>
      </c>
      <c r="E191" s="2" t="n">
        <f aca="true">MAX(1,ROUND(_xlfn.NORM.INV(RAND(),INDEX(ModeLT,MATCH(D191,ModeName,0)),Settings!$B$16),0))+IF(C191="Africa",Settings!$B$17,0)</f>
        <v>21</v>
      </c>
      <c r="F191" s="10" t="n">
        <f aca="false">B191+E191</f>
        <v>46040</v>
      </c>
      <c r="G191" s="10" t="n">
        <f aca="false">B191+ROUND(INDEX(ModeLT,MATCH(D191,ModeName,0)),0)+Settings!$B$18</f>
        <v>46042</v>
      </c>
      <c r="H191" s="2" t="n">
        <f aca="false">IF(F191&lt;=G191,1,0)</f>
        <v>1</v>
      </c>
      <c r="I191" s="2" t="n">
        <f aca="true">ROUND(_xlfn.LOGNORM.INV(RAND(),5.3,0.6),0)</f>
        <v>153</v>
      </c>
    </row>
    <row r="192" customFormat="false" ht="15" hidden="false" customHeight="false" outlineLevel="0" collapsed="false">
      <c r="A192" s="2" t="str">
        <f aca="false">"ORD-"&amp;TEXT(10000+ROW()-1,"00000")</f>
        <v>ORD-10191</v>
      </c>
      <c r="B192" s="10" t="n">
        <f aca="false">DATE(2025,1,1)+RANDBETWEEN(0,364)</f>
        <v>45858</v>
      </c>
      <c r="C192" s="2" t="str">
        <f aca="true">INDEX(RegName,MATCH(RAND(),RegCum,1))</f>
        <v>Middle East</v>
      </c>
      <c r="D192" s="2" t="str">
        <f aca="true">INDEX(ModeName,MATCH(RAND(),ModeCum,1))</f>
        <v>Road</v>
      </c>
      <c r="E192" s="2" t="n">
        <f aca="true">MAX(1,ROUND(_xlfn.NORM.INV(RAND(),INDEX(ModeLT,MATCH(D192,ModeName,0)),Settings!$B$16),0))+IF(C192="Africa",Settings!$B$17,0)</f>
        <v>8</v>
      </c>
      <c r="F192" s="10" t="n">
        <f aca="false">B192+E192</f>
        <v>45866</v>
      </c>
      <c r="G192" s="10" t="n">
        <f aca="false">B192+ROUND(INDEX(ModeLT,MATCH(D192,ModeName,0)),0)+Settings!$B$18</f>
        <v>45867</v>
      </c>
      <c r="H192" s="2" t="n">
        <f aca="false">IF(F192&lt;=G192,1,0)</f>
        <v>1</v>
      </c>
      <c r="I192" s="2" t="n">
        <f aca="true">ROUND(_xlfn.LOGNORM.INV(RAND(),5.3,0.6),0)</f>
        <v>315</v>
      </c>
    </row>
    <row r="193" customFormat="false" ht="15" hidden="false" customHeight="false" outlineLevel="0" collapsed="false">
      <c r="A193" s="2" t="str">
        <f aca="false">"ORD-"&amp;TEXT(10000+ROW()-1,"00000")</f>
        <v>ORD-10192</v>
      </c>
      <c r="B193" s="10" t="n">
        <f aca="false">DATE(2025,1,1)+RANDBETWEEN(0,364)</f>
        <v>45887</v>
      </c>
      <c r="C193" s="2" t="str">
        <f aca="true">INDEX(RegName,MATCH(RAND(),RegCum,1))</f>
        <v>Africa</v>
      </c>
      <c r="D193" s="2" t="str">
        <f aca="true">INDEX(ModeName,MATCH(RAND(),ModeCum,1))</f>
        <v>Sea</v>
      </c>
      <c r="E193" s="2" t="n">
        <f aca="true">MAX(1,ROUND(_xlfn.NORM.INV(RAND(),INDEX(ModeLT,MATCH(D193,ModeName,0)),Settings!$B$16),0))+IF(C193="Africa",Settings!$B$17,0)</f>
        <v>23</v>
      </c>
      <c r="F193" s="10" t="n">
        <f aca="false">B193+E193</f>
        <v>45910</v>
      </c>
      <c r="G193" s="10" t="n">
        <f aca="false">B193+ROUND(INDEX(ModeLT,MATCH(D193,ModeName,0)),0)+Settings!$B$18</f>
        <v>45910</v>
      </c>
      <c r="H193" s="2" t="n">
        <f aca="false">IF(F193&lt;=G193,1,0)</f>
        <v>1</v>
      </c>
      <c r="I193" s="2" t="n">
        <f aca="true">ROUND(_xlfn.LOGNORM.INV(RAND(),5.3,0.6),0)</f>
        <v>119</v>
      </c>
    </row>
    <row r="194" customFormat="false" ht="15" hidden="false" customHeight="false" outlineLevel="0" collapsed="false">
      <c r="A194" s="2" t="str">
        <f aca="false">"ORD-"&amp;TEXT(10000+ROW()-1,"00000")</f>
        <v>ORD-10193</v>
      </c>
      <c r="B194" s="10" t="n">
        <f aca="false">DATE(2025,1,1)+RANDBETWEEN(0,364)</f>
        <v>45892</v>
      </c>
      <c r="C194" s="2" t="str">
        <f aca="true">INDEX(RegName,MATCH(RAND(),RegCum,1))</f>
        <v>Middle East</v>
      </c>
      <c r="D194" s="2" t="str">
        <f aca="true">INDEX(ModeName,MATCH(RAND(),ModeCum,1))</f>
        <v>Road</v>
      </c>
      <c r="E194" s="2" t="n">
        <f aca="true">MAX(1,ROUND(_xlfn.NORM.INV(RAND(),INDEX(ModeLT,MATCH(D194,ModeName,0)),Settings!$B$16),0))+IF(C194="Africa",Settings!$B$17,0)</f>
        <v>6</v>
      </c>
      <c r="F194" s="10" t="n">
        <f aca="false">B194+E194</f>
        <v>45898</v>
      </c>
      <c r="G194" s="10" t="n">
        <f aca="false">B194+ROUND(INDEX(ModeLT,MATCH(D194,ModeName,0)),0)+Settings!$B$18</f>
        <v>45901</v>
      </c>
      <c r="H194" s="2" t="n">
        <f aca="false">IF(F194&lt;=G194,1,0)</f>
        <v>1</v>
      </c>
      <c r="I194" s="2" t="n">
        <f aca="true">ROUND(_xlfn.LOGNORM.INV(RAND(),5.3,0.6),0)</f>
        <v>1023</v>
      </c>
    </row>
    <row r="195" customFormat="false" ht="15" hidden="false" customHeight="false" outlineLevel="0" collapsed="false">
      <c r="A195" s="2" t="str">
        <f aca="false">"ORD-"&amp;TEXT(10000+ROW()-1,"00000")</f>
        <v>ORD-10194</v>
      </c>
      <c r="B195" s="10" t="n">
        <f aca="false">DATE(2025,1,1)+RANDBETWEEN(0,364)</f>
        <v>45919</v>
      </c>
      <c r="C195" s="2" t="str">
        <f aca="true">INDEX(RegName,MATCH(RAND(),RegCum,1))</f>
        <v>Americas</v>
      </c>
      <c r="D195" s="2" t="str">
        <f aca="true">INDEX(ModeName,MATCH(RAND(),ModeCum,1))</f>
        <v>Road</v>
      </c>
      <c r="E195" s="2" t="n">
        <f aca="true">MAX(1,ROUND(_xlfn.NORM.INV(RAND(),INDEX(ModeLT,MATCH(D195,ModeName,0)),Settings!$B$16),0))+IF(C195="Africa",Settings!$B$17,0)</f>
        <v>7</v>
      </c>
      <c r="F195" s="10" t="n">
        <f aca="false">B195+E195</f>
        <v>45926</v>
      </c>
      <c r="G195" s="10" t="n">
        <f aca="false">B195+ROUND(INDEX(ModeLT,MATCH(D195,ModeName,0)),0)+Settings!$B$18</f>
        <v>45928</v>
      </c>
      <c r="H195" s="2" t="n">
        <f aca="false">IF(F195&lt;=G195,1,0)</f>
        <v>1</v>
      </c>
      <c r="I195" s="2" t="n">
        <f aca="true">ROUND(_xlfn.LOGNORM.INV(RAND(),5.3,0.6),0)</f>
        <v>133</v>
      </c>
    </row>
    <row r="196" customFormat="false" ht="15" hidden="false" customHeight="false" outlineLevel="0" collapsed="false">
      <c r="A196" s="2" t="str">
        <f aca="false">"ORD-"&amp;TEXT(10000+ROW()-1,"00000")</f>
        <v>ORD-10195</v>
      </c>
      <c r="B196" s="10" t="n">
        <f aca="false">DATE(2025,1,1)+RANDBETWEEN(0,364)</f>
        <v>45879</v>
      </c>
      <c r="C196" s="2" t="str">
        <f aca="true">INDEX(RegName,MATCH(RAND(),RegCum,1))</f>
        <v>Americas</v>
      </c>
      <c r="D196" s="2" t="str">
        <f aca="true">INDEX(ModeName,MATCH(RAND(),ModeCum,1))</f>
        <v>Road</v>
      </c>
      <c r="E196" s="2" t="n">
        <f aca="true">MAX(1,ROUND(_xlfn.NORM.INV(RAND(),INDEX(ModeLT,MATCH(D196,ModeName,0)),Settings!$B$16),0))+IF(C196="Africa",Settings!$B$17,0)</f>
        <v>7</v>
      </c>
      <c r="F196" s="10" t="n">
        <f aca="false">B196+E196</f>
        <v>45886</v>
      </c>
      <c r="G196" s="10" t="n">
        <f aca="false">B196+ROUND(INDEX(ModeLT,MATCH(D196,ModeName,0)),0)+Settings!$B$18</f>
        <v>45888</v>
      </c>
      <c r="H196" s="2" t="n">
        <f aca="false">IF(F196&lt;=G196,1,0)</f>
        <v>1</v>
      </c>
      <c r="I196" s="2" t="n">
        <f aca="true">ROUND(_xlfn.LOGNORM.INV(RAND(),5.3,0.6),0)</f>
        <v>144</v>
      </c>
    </row>
    <row r="197" customFormat="false" ht="15" hidden="false" customHeight="false" outlineLevel="0" collapsed="false">
      <c r="A197" s="2" t="str">
        <f aca="false">"ORD-"&amp;TEXT(10000+ROW()-1,"00000")</f>
        <v>ORD-10196</v>
      </c>
      <c r="B197" s="10" t="n">
        <f aca="false">DATE(2025,1,1)+RANDBETWEEN(0,364)</f>
        <v>45875</v>
      </c>
      <c r="C197" s="2" t="str">
        <f aca="true">INDEX(RegName,MATCH(RAND(),RegCum,1))</f>
        <v>Africa</v>
      </c>
      <c r="D197" s="2" t="str">
        <f aca="true">INDEX(ModeName,MATCH(RAND(),ModeCum,1))</f>
        <v>Road</v>
      </c>
      <c r="E197" s="2" t="n">
        <f aca="true">MAX(1,ROUND(_xlfn.NORM.INV(RAND(),INDEX(ModeLT,MATCH(D197,ModeName,0)),Settings!$B$16),0))+IF(C197="Africa",Settings!$B$17,0)</f>
        <v>7</v>
      </c>
      <c r="F197" s="10" t="n">
        <f aca="false">B197+E197</f>
        <v>45882</v>
      </c>
      <c r="G197" s="10" t="n">
        <f aca="false">B197+ROUND(INDEX(ModeLT,MATCH(D197,ModeName,0)),0)+Settings!$B$18</f>
        <v>45884</v>
      </c>
      <c r="H197" s="2" t="n">
        <f aca="false">IF(F197&lt;=G197,1,0)</f>
        <v>1</v>
      </c>
      <c r="I197" s="2" t="n">
        <f aca="true">ROUND(_xlfn.LOGNORM.INV(RAND(),5.3,0.6),0)</f>
        <v>252</v>
      </c>
    </row>
    <row r="198" customFormat="false" ht="15" hidden="false" customHeight="false" outlineLevel="0" collapsed="false">
      <c r="A198" s="2" t="str">
        <f aca="false">"ORD-"&amp;TEXT(10000+ROW()-1,"00000")</f>
        <v>ORD-10197</v>
      </c>
      <c r="B198" s="10" t="n">
        <f aca="false">DATE(2025,1,1)+RANDBETWEEN(0,364)</f>
        <v>45866</v>
      </c>
      <c r="C198" s="2" t="str">
        <f aca="true">INDEX(RegName,MATCH(RAND(),RegCum,1))</f>
        <v>Americas</v>
      </c>
      <c r="D198" s="2" t="str">
        <f aca="true">INDEX(ModeName,MATCH(RAND(),ModeCum,1))</f>
        <v>Road</v>
      </c>
      <c r="E198" s="2" t="n">
        <f aca="true">MAX(1,ROUND(_xlfn.NORM.INV(RAND(),INDEX(ModeLT,MATCH(D198,ModeName,0)),Settings!$B$16),0))+IF(C198="Africa",Settings!$B$17,0)</f>
        <v>7</v>
      </c>
      <c r="F198" s="10" t="n">
        <f aca="false">B198+E198</f>
        <v>45873</v>
      </c>
      <c r="G198" s="10" t="n">
        <f aca="false">B198+ROUND(INDEX(ModeLT,MATCH(D198,ModeName,0)),0)+Settings!$B$18</f>
        <v>45875</v>
      </c>
      <c r="H198" s="2" t="n">
        <f aca="false">IF(F198&lt;=G198,1,0)</f>
        <v>1</v>
      </c>
      <c r="I198" s="2" t="n">
        <f aca="true">ROUND(_xlfn.LOGNORM.INV(RAND(),5.3,0.6),0)</f>
        <v>177</v>
      </c>
    </row>
    <row r="199" customFormat="false" ht="15" hidden="false" customHeight="false" outlineLevel="0" collapsed="false">
      <c r="A199" s="2" t="str">
        <f aca="false">"ORD-"&amp;TEXT(10000+ROW()-1,"00000")</f>
        <v>ORD-10198</v>
      </c>
      <c r="B199" s="10" t="n">
        <f aca="false">DATE(2025,1,1)+RANDBETWEEN(0,364)</f>
        <v>45816</v>
      </c>
      <c r="C199" s="2" t="str">
        <f aca="true">INDEX(RegName,MATCH(RAND(),RegCum,1))</f>
        <v>Europe</v>
      </c>
      <c r="D199" s="2" t="str">
        <f aca="true">INDEX(ModeName,MATCH(RAND(),ModeCum,1))</f>
        <v>Road</v>
      </c>
      <c r="E199" s="2" t="n">
        <f aca="true">MAX(1,ROUND(_xlfn.NORM.INV(RAND(),INDEX(ModeLT,MATCH(D199,ModeName,0)),Settings!$B$16),0))+IF(C199="Africa",Settings!$B$17,0)</f>
        <v>8</v>
      </c>
      <c r="F199" s="10" t="n">
        <f aca="false">B199+E199</f>
        <v>45824</v>
      </c>
      <c r="G199" s="10" t="n">
        <f aca="false">B199+ROUND(INDEX(ModeLT,MATCH(D199,ModeName,0)),0)+Settings!$B$18</f>
        <v>45825</v>
      </c>
      <c r="H199" s="2" t="n">
        <f aca="false">IF(F199&lt;=G199,1,0)</f>
        <v>1</v>
      </c>
      <c r="I199" s="2" t="n">
        <f aca="true">ROUND(_xlfn.LOGNORM.INV(RAND(),5.3,0.6),0)</f>
        <v>217</v>
      </c>
    </row>
    <row r="200" customFormat="false" ht="15" hidden="false" customHeight="false" outlineLevel="0" collapsed="false">
      <c r="A200" s="2" t="str">
        <f aca="false">"ORD-"&amp;TEXT(10000+ROW()-1,"00000")</f>
        <v>ORD-10199</v>
      </c>
      <c r="B200" s="10" t="n">
        <f aca="false">DATE(2025,1,1)+RANDBETWEEN(0,364)</f>
        <v>45658</v>
      </c>
      <c r="C200" s="2" t="str">
        <f aca="true">INDEX(RegName,MATCH(RAND(),RegCum,1))</f>
        <v>Europe</v>
      </c>
      <c r="D200" s="2" t="str">
        <f aca="true">INDEX(ModeName,MATCH(RAND(),ModeCum,1))</f>
        <v>Road</v>
      </c>
      <c r="E200" s="2" t="n">
        <f aca="true">MAX(1,ROUND(_xlfn.NORM.INV(RAND(),INDEX(ModeLT,MATCH(D200,ModeName,0)),Settings!$B$16),0))+IF(C200="Africa",Settings!$B$17,0)</f>
        <v>4</v>
      </c>
      <c r="F200" s="10" t="n">
        <f aca="false">B200+E200</f>
        <v>45662</v>
      </c>
      <c r="G200" s="10" t="n">
        <f aca="false">B200+ROUND(INDEX(ModeLT,MATCH(D200,ModeName,0)),0)+Settings!$B$18</f>
        <v>45667</v>
      </c>
      <c r="H200" s="2" t="n">
        <f aca="false">IF(F200&lt;=G200,1,0)</f>
        <v>1</v>
      </c>
      <c r="I200" s="2" t="n">
        <f aca="true">ROUND(_xlfn.LOGNORM.INV(RAND(),5.3,0.6),0)</f>
        <v>125</v>
      </c>
    </row>
    <row r="201" customFormat="false" ht="15" hidden="false" customHeight="false" outlineLevel="0" collapsed="false">
      <c r="A201" s="2" t="str">
        <f aca="false">"ORD-"&amp;TEXT(10000+ROW()-1,"00000")</f>
        <v>ORD-10200</v>
      </c>
      <c r="B201" s="10" t="n">
        <f aca="false">DATE(2025,1,1)+RANDBETWEEN(0,364)</f>
        <v>45896</v>
      </c>
      <c r="C201" s="2" t="str">
        <f aca="true">INDEX(RegName,MATCH(RAND(),RegCum,1))</f>
        <v>Americas</v>
      </c>
      <c r="D201" s="2" t="str">
        <f aca="true">INDEX(ModeName,MATCH(RAND(),ModeCum,1))</f>
        <v>Air</v>
      </c>
      <c r="E201" s="2" t="n">
        <f aca="true">MAX(1,ROUND(_xlfn.NORM.INV(RAND(),INDEX(ModeLT,MATCH(D201,ModeName,0)),Settings!$B$16),0))+IF(C201="Africa",Settings!$B$17,0)</f>
        <v>3</v>
      </c>
      <c r="F201" s="10" t="n">
        <f aca="false">B201+E201</f>
        <v>45899</v>
      </c>
      <c r="G201" s="10" t="n">
        <f aca="false">B201+ROUND(INDEX(ModeLT,MATCH(D201,ModeName,0)),0)+Settings!$B$18</f>
        <v>45903</v>
      </c>
      <c r="H201" s="2" t="n">
        <f aca="false">IF(F201&lt;=G201,1,0)</f>
        <v>1</v>
      </c>
      <c r="I201" s="2" t="n">
        <f aca="true">ROUND(_xlfn.LOGNORM.INV(RAND(),5.3,0.6),0)</f>
        <v>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8" min="8" style="0" width="18"/>
    <col collapsed="false" customWidth="true" hidden="false" outlineLevel="0" max="9" min="9" style="0" width="10"/>
  </cols>
  <sheetData>
    <row r="1" customFormat="false" ht="26.85" hidden="false" customHeight="false" outlineLevel="0" collapsed="false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H1" s="5" t="s">
        <v>36</v>
      </c>
      <c r="I1" s="11" t="n">
        <v>20000</v>
      </c>
    </row>
    <row r="2" customFormat="false" ht="15" hidden="false" customHeight="false" outlineLevel="0" collapsed="false">
      <c r="A2" s="2" t="n">
        <v>1</v>
      </c>
      <c r="B2" s="12" t="n">
        <f aca="false">DATE(2023,1+A2-1,1)</f>
        <v>44927</v>
      </c>
      <c r="C2" s="13" t="n">
        <f aca="false">$I$1*(1+$I$2)^(A2-1)</f>
        <v>20000</v>
      </c>
      <c r="D2" s="14" t="n">
        <v>0.96</v>
      </c>
      <c r="E2" s="15" t="n">
        <f aca="true">_xlfn.NORM.INV(RAND(),0,$I$3)</f>
        <v>-0.0127538270706376</v>
      </c>
      <c r="F2" s="13" t="n">
        <f aca="false">ROUND(C2*D2*(1+E2),0)</f>
        <v>18955</v>
      </c>
      <c r="H2" s="5" t="s">
        <v>37</v>
      </c>
      <c r="I2" s="16" t="n">
        <v>0.005</v>
      </c>
    </row>
    <row r="3" customFormat="false" ht="15" hidden="false" customHeight="false" outlineLevel="0" collapsed="false">
      <c r="A3" s="2" t="n">
        <v>2</v>
      </c>
      <c r="B3" s="12" t="n">
        <f aca="false">DATE(2023,1+A3-1,1)</f>
        <v>44958</v>
      </c>
      <c r="C3" s="13" t="n">
        <f aca="false">$I$1*(1+$I$2)^(A3-1)</f>
        <v>20100</v>
      </c>
      <c r="D3" s="14" t="n">
        <v>0.93</v>
      </c>
      <c r="E3" s="15" t="n">
        <f aca="true">_xlfn.NORM.INV(RAND(),0,$I$3)</f>
        <v>-0.00117656745865459</v>
      </c>
      <c r="F3" s="13" t="n">
        <f aca="false">ROUND(C3*D3*(1+E3),0)</f>
        <v>18671</v>
      </c>
      <c r="H3" s="5" t="s">
        <v>38</v>
      </c>
      <c r="I3" s="6" t="n">
        <v>0.03</v>
      </c>
    </row>
    <row r="4" customFormat="false" ht="15" hidden="false" customHeight="false" outlineLevel="0" collapsed="false">
      <c r="A4" s="2" t="n">
        <v>3</v>
      </c>
      <c r="B4" s="12" t="n">
        <f aca="false">DATE(2023,1+A4-1,1)</f>
        <v>44986</v>
      </c>
      <c r="C4" s="13" t="n">
        <f aca="false">$I$1*(1+$I$2)^(A4-1)</f>
        <v>20200.5</v>
      </c>
      <c r="D4" s="14" t="n">
        <v>1</v>
      </c>
      <c r="E4" s="15" t="n">
        <f aca="true">_xlfn.NORM.INV(RAND(),0,$I$3)</f>
        <v>0.0197915387432697</v>
      </c>
      <c r="F4" s="13" t="n">
        <f aca="false">ROUND(C4*D4*(1+E4),0)</f>
        <v>20600</v>
      </c>
    </row>
    <row r="5" customFormat="false" ht="15" hidden="false" customHeight="false" outlineLevel="0" collapsed="false">
      <c r="A5" s="2" t="n">
        <v>4</v>
      </c>
      <c r="B5" s="12" t="n">
        <f aca="false">DATE(2023,1+A5-1,1)</f>
        <v>45017</v>
      </c>
      <c r="C5" s="13" t="n">
        <f aca="false">$I$1*(1+$I$2)^(A5-1)</f>
        <v>20301.5025</v>
      </c>
      <c r="D5" s="14" t="n">
        <v>0.98</v>
      </c>
      <c r="E5" s="15" t="n">
        <f aca="true">_xlfn.NORM.INV(RAND(),0,$I$3)</f>
        <v>-0.000413047742190243</v>
      </c>
      <c r="F5" s="13" t="n">
        <f aca="false">ROUND(C5*D5*(1+E5),0)</f>
        <v>19887</v>
      </c>
    </row>
    <row r="6" customFormat="false" ht="15" hidden="false" customHeight="false" outlineLevel="0" collapsed="false">
      <c r="A6" s="2" t="n">
        <v>5</v>
      </c>
      <c r="B6" s="12" t="n">
        <f aca="false">DATE(2023,1+A6-1,1)</f>
        <v>45047</v>
      </c>
      <c r="C6" s="13" t="n">
        <f aca="false">$I$1*(1+$I$2)^(A6-1)</f>
        <v>20403.0100125</v>
      </c>
      <c r="D6" s="14" t="n">
        <v>1.02</v>
      </c>
      <c r="E6" s="15" t="n">
        <f aca="true">_xlfn.NORM.INV(RAND(),0,$I$3)</f>
        <v>-0.0390207506028281</v>
      </c>
      <c r="F6" s="13" t="n">
        <f aca="false">ROUND(C6*D6*(1+E6),0)</f>
        <v>19999</v>
      </c>
    </row>
    <row r="7" customFormat="false" ht="15" hidden="false" customHeight="false" outlineLevel="0" collapsed="false">
      <c r="A7" s="2" t="n">
        <v>6</v>
      </c>
      <c r="B7" s="12" t="n">
        <f aca="false">DATE(2023,1+A7-1,1)</f>
        <v>45078</v>
      </c>
      <c r="C7" s="13" t="n">
        <f aca="false">$I$1*(1+$I$2)^(A7-1)</f>
        <v>20505.0250625625</v>
      </c>
      <c r="D7" s="14" t="n">
        <v>1</v>
      </c>
      <c r="E7" s="15" t="n">
        <f aca="true">_xlfn.NORM.INV(RAND(),0,$I$3)</f>
        <v>0.000213654455020981</v>
      </c>
      <c r="F7" s="13" t="n">
        <f aca="false">ROUND(C7*D7*(1+E7),0)</f>
        <v>20509</v>
      </c>
    </row>
    <row r="8" customFormat="false" ht="15" hidden="false" customHeight="false" outlineLevel="0" collapsed="false">
      <c r="A8" s="2" t="n">
        <v>7</v>
      </c>
      <c r="B8" s="12" t="n">
        <f aca="false">DATE(2023,1+A8-1,1)</f>
        <v>45108</v>
      </c>
      <c r="C8" s="13" t="n">
        <f aca="false">$I$1*(1+$I$2)^(A8-1)</f>
        <v>20607.5501878753</v>
      </c>
      <c r="D8" s="14" t="n">
        <v>1.01</v>
      </c>
      <c r="E8" s="15" t="n">
        <f aca="true">_xlfn.NORM.INV(RAND(),0,$I$3)</f>
        <v>0.0256126093339269</v>
      </c>
      <c r="F8" s="13" t="n">
        <f aca="false">ROUND(C8*D8*(1+E8),0)</f>
        <v>21347</v>
      </c>
    </row>
    <row r="9" customFormat="false" ht="15" hidden="false" customHeight="false" outlineLevel="0" collapsed="false">
      <c r="A9" s="2" t="n">
        <v>8</v>
      </c>
      <c r="B9" s="12" t="n">
        <f aca="false">DATE(2023,1+A9-1,1)</f>
        <v>45139</v>
      </c>
      <c r="C9" s="13" t="n">
        <f aca="false">$I$1*(1+$I$2)^(A9-1)</f>
        <v>20710.5879388147</v>
      </c>
      <c r="D9" s="14" t="n">
        <v>1.06</v>
      </c>
      <c r="E9" s="15" t="n">
        <f aca="true">_xlfn.NORM.INV(RAND(),0,$I$3)</f>
        <v>-0.046494654601499</v>
      </c>
      <c r="F9" s="13" t="n">
        <f aca="false">ROUND(C9*D9*(1+E9),0)</f>
        <v>20933</v>
      </c>
    </row>
    <row r="10" customFormat="false" ht="15" hidden="false" customHeight="false" outlineLevel="0" collapsed="false">
      <c r="A10" s="2" t="n">
        <v>9</v>
      </c>
      <c r="B10" s="12" t="n">
        <f aca="false">DATE(2023,1+A10-1,1)</f>
        <v>45170</v>
      </c>
      <c r="C10" s="13" t="n">
        <f aca="false">$I$1*(1+$I$2)^(A10-1)</f>
        <v>20814.1408785087</v>
      </c>
      <c r="D10" s="14" t="n">
        <v>0.89</v>
      </c>
      <c r="E10" s="15" t="n">
        <f aca="true">_xlfn.NORM.INV(RAND(),0,$I$3)</f>
        <v>0.0460627351526395</v>
      </c>
      <c r="F10" s="13" t="n">
        <f aca="false">ROUND(C10*D10*(1+E10),0)</f>
        <v>19378</v>
      </c>
    </row>
    <row r="11" customFormat="false" ht="15" hidden="false" customHeight="false" outlineLevel="0" collapsed="false">
      <c r="A11" s="2" t="n">
        <v>10</v>
      </c>
      <c r="B11" s="12" t="n">
        <f aca="false">DATE(2023,1+A11-1,1)</f>
        <v>45200</v>
      </c>
      <c r="C11" s="13" t="n">
        <f aca="false">$I$1*(1+$I$2)^(A11-1)</f>
        <v>20918.2115829013</v>
      </c>
      <c r="D11" s="14" t="n">
        <v>0.86</v>
      </c>
      <c r="E11" s="15" t="n">
        <f aca="true">_xlfn.NORM.INV(RAND(),0,$I$3)</f>
        <v>-0.0294673373515607</v>
      </c>
      <c r="F11" s="13" t="n">
        <f aca="false">ROUND(C11*D11*(1+E11),0)</f>
        <v>17460</v>
      </c>
    </row>
    <row r="12" customFormat="false" ht="15" hidden="false" customHeight="false" outlineLevel="0" collapsed="false">
      <c r="A12" s="2" t="n">
        <v>11</v>
      </c>
      <c r="B12" s="12" t="n">
        <f aca="false">DATE(2023,1+A12-1,1)</f>
        <v>45231</v>
      </c>
      <c r="C12" s="13" t="n">
        <f aca="false">$I$1*(1+$I$2)^(A12-1)</f>
        <v>21022.8026408158</v>
      </c>
      <c r="D12" s="14" t="n">
        <v>1.04</v>
      </c>
      <c r="E12" s="15" t="n">
        <f aca="true">_xlfn.NORM.INV(RAND(),0,$I$3)</f>
        <v>0.00695419844884198</v>
      </c>
      <c r="F12" s="13" t="n">
        <f aca="false">ROUND(C12*D12*(1+E12),0)</f>
        <v>22016</v>
      </c>
    </row>
    <row r="13" customFormat="false" ht="15" hidden="false" customHeight="false" outlineLevel="0" collapsed="false">
      <c r="A13" s="2" t="n">
        <v>12</v>
      </c>
      <c r="B13" s="12" t="n">
        <f aca="false">DATE(2023,1+A13-1,1)</f>
        <v>45261</v>
      </c>
      <c r="C13" s="13" t="n">
        <f aca="false">$I$1*(1+$I$2)^(A13-1)</f>
        <v>21127.9166540199</v>
      </c>
      <c r="D13" s="14" t="n">
        <v>1.25</v>
      </c>
      <c r="E13" s="15" t="n">
        <f aca="true">_xlfn.NORM.INV(RAND(),0,$I$3)</f>
        <v>-0.00354400156345794</v>
      </c>
      <c r="F13" s="13" t="n">
        <f aca="false">ROUND(C13*D13*(1+E13),0)</f>
        <v>26316</v>
      </c>
    </row>
    <row r="14" customFormat="false" ht="15" hidden="false" customHeight="false" outlineLevel="0" collapsed="false">
      <c r="A14" s="2" t="n">
        <v>13</v>
      </c>
      <c r="B14" s="12" t="n">
        <f aca="false">DATE(2023,1+A14-1,1)</f>
        <v>45292</v>
      </c>
      <c r="C14" s="13" t="n">
        <f aca="false">$I$1*(1+$I$2)^(A14-1)</f>
        <v>21233.55623729</v>
      </c>
      <c r="D14" s="14" t="n">
        <v>0.96</v>
      </c>
      <c r="E14" s="15" t="n">
        <f aca="true">_xlfn.NORM.INV(RAND(),0,$I$3)</f>
        <v>-0.00604124956165839</v>
      </c>
      <c r="F14" s="13" t="n">
        <f aca="false">ROUND(C14*D14*(1+E14),0)</f>
        <v>20261</v>
      </c>
    </row>
    <row r="15" customFormat="false" ht="15" hidden="false" customHeight="false" outlineLevel="0" collapsed="false">
      <c r="A15" s="2" t="n">
        <v>14</v>
      </c>
      <c r="B15" s="12" t="n">
        <f aca="false">DATE(2023,1+A15-1,1)</f>
        <v>45323</v>
      </c>
      <c r="C15" s="13" t="n">
        <f aca="false">$I$1*(1+$I$2)^(A15-1)</f>
        <v>21339.7240184764</v>
      </c>
      <c r="D15" s="14" t="n">
        <v>0.93</v>
      </c>
      <c r="E15" s="15" t="n">
        <f aca="true">_xlfn.NORM.INV(RAND(),0,$I$3)</f>
        <v>0.0141173415056418</v>
      </c>
      <c r="F15" s="13" t="n">
        <f aca="false">ROUND(C15*D15*(1+E15),0)</f>
        <v>20126</v>
      </c>
    </row>
    <row r="16" customFormat="false" ht="15" hidden="false" customHeight="false" outlineLevel="0" collapsed="false">
      <c r="A16" s="2" t="n">
        <v>15</v>
      </c>
      <c r="B16" s="12" t="n">
        <f aca="false">DATE(2023,1+A16-1,1)</f>
        <v>45352</v>
      </c>
      <c r="C16" s="13" t="n">
        <f aca="false">$I$1*(1+$I$2)^(A16-1)</f>
        <v>21446.4226385688</v>
      </c>
      <c r="D16" s="14" t="n">
        <v>1</v>
      </c>
      <c r="E16" s="15" t="n">
        <f aca="true">_xlfn.NORM.INV(RAND(),0,$I$3)</f>
        <v>0.00930407427533629</v>
      </c>
      <c r="F16" s="13" t="n">
        <f aca="false">ROUND(C16*D16*(1+E16),0)</f>
        <v>21646</v>
      </c>
    </row>
    <row r="17" customFormat="false" ht="15" hidden="false" customHeight="false" outlineLevel="0" collapsed="false">
      <c r="A17" s="2" t="n">
        <v>16</v>
      </c>
      <c r="B17" s="12" t="n">
        <f aca="false">DATE(2023,1+A17-1,1)</f>
        <v>45383</v>
      </c>
      <c r="C17" s="13" t="n">
        <f aca="false">$I$1*(1+$I$2)^(A17-1)</f>
        <v>21553.6547517616</v>
      </c>
      <c r="D17" s="14" t="n">
        <v>0.98</v>
      </c>
      <c r="E17" s="15" t="n">
        <f aca="true">_xlfn.NORM.INV(RAND(),0,$I$3)</f>
        <v>-0.0509518800718203</v>
      </c>
      <c r="F17" s="13" t="n">
        <f aca="false">ROUND(C17*D17*(1+E17),0)</f>
        <v>20046</v>
      </c>
    </row>
    <row r="18" customFormat="false" ht="15" hidden="false" customHeight="false" outlineLevel="0" collapsed="false">
      <c r="A18" s="2" t="n">
        <v>17</v>
      </c>
      <c r="B18" s="12" t="n">
        <f aca="false">DATE(2023,1+A18-1,1)</f>
        <v>45413</v>
      </c>
      <c r="C18" s="13" t="n">
        <f aca="false">$I$1*(1+$I$2)^(A18-1)</f>
        <v>21661.4230255204</v>
      </c>
      <c r="D18" s="14" t="n">
        <v>1.02</v>
      </c>
      <c r="E18" s="15" t="n">
        <f aca="true">_xlfn.NORM.INV(RAND(),0,$I$3)</f>
        <v>-0.00814387890860011</v>
      </c>
      <c r="F18" s="13" t="n">
        <f aca="false">ROUND(C18*D18*(1+E18),0)</f>
        <v>21915</v>
      </c>
    </row>
    <row r="19" customFormat="false" ht="15" hidden="false" customHeight="false" outlineLevel="0" collapsed="false">
      <c r="A19" s="2" t="n">
        <v>18</v>
      </c>
      <c r="B19" s="12" t="n">
        <f aca="false">DATE(2023,1+A19-1,1)</f>
        <v>45444</v>
      </c>
      <c r="C19" s="13" t="n">
        <f aca="false">$I$1*(1+$I$2)^(A19-1)</f>
        <v>21769.730140648</v>
      </c>
      <c r="D19" s="14" t="n">
        <v>1</v>
      </c>
      <c r="E19" s="15" t="n">
        <f aca="true">_xlfn.NORM.INV(RAND(),0,$I$3)</f>
        <v>-0.0386516368484129</v>
      </c>
      <c r="F19" s="13" t="n">
        <f aca="false">ROUND(C19*D19*(1+E19),0)</f>
        <v>20928</v>
      </c>
    </row>
    <row r="20" customFormat="false" ht="15" hidden="false" customHeight="false" outlineLevel="0" collapsed="false">
      <c r="A20" s="2" t="n">
        <v>19</v>
      </c>
      <c r="B20" s="12" t="n">
        <f aca="false">DATE(2023,1+A20-1,1)</f>
        <v>45474</v>
      </c>
      <c r="C20" s="13" t="n">
        <f aca="false">$I$1*(1+$I$2)^(A20-1)</f>
        <v>21878.5787913513</v>
      </c>
      <c r="D20" s="14" t="n">
        <v>1.01</v>
      </c>
      <c r="E20" s="15" t="n">
        <f aca="true">_xlfn.NORM.INV(RAND(),0,$I$3)</f>
        <v>0.0307684733562317</v>
      </c>
      <c r="F20" s="13" t="n">
        <f aca="false">ROUND(C20*D20*(1+E20),0)</f>
        <v>22777</v>
      </c>
    </row>
    <row r="21" customFormat="false" ht="15" hidden="false" customHeight="false" outlineLevel="0" collapsed="false">
      <c r="A21" s="2" t="n">
        <v>20</v>
      </c>
      <c r="B21" s="12" t="n">
        <f aca="false">DATE(2023,1+A21-1,1)</f>
        <v>45505</v>
      </c>
      <c r="C21" s="13" t="n">
        <f aca="false">$I$1*(1+$I$2)^(A21-1)</f>
        <v>21987.971685308</v>
      </c>
      <c r="D21" s="14" t="n">
        <v>1.06</v>
      </c>
      <c r="E21" s="15" t="n">
        <f aca="true">_xlfn.NORM.INV(RAND(),0,$I$3)</f>
        <v>-0.0553126169118747</v>
      </c>
      <c r="F21" s="13" t="n">
        <f aca="false">ROUND(C21*D21*(1+E21),0)</f>
        <v>22018</v>
      </c>
    </row>
    <row r="22" customFormat="false" ht="15" hidden="false" customHeight="false" outlineLevel="0" collapsed="false">
      <c r="A22" s="2" t="n">
        <v>21</v>
      </c>
      <c r="B22" s="12" t="n">
        <f aca="false">DATE(2023,1+A22-1,1)</f>
        <v>45536</v>
      </c>
      <c r="C22" s="13" t="n">
        <f aca="false">$I$1*(1+$I$2)^(A22-1)</f>
        <v>22097.9115437346</v>
      </c>
      <c r="D22" s="14" t="n">
        <v>0.89</v>
      </c>
      <c r="E22" s="15" t="n">
        <f aca="true">_xlfn.NORM.INV(RAND(),0,$I$3)</f>
        <v>-0.00664618895710122</v>
      </c>
      <c r="F22" s="13" t="n">
        <f aca="false">ROUND(C22*D22*(1+E22),0)</f>
        <v>19536</v>
      </c>
    </row>
    <row r="23" customFormat="false" ht="15" hidden="false" customHeight="false" outlineLevel="0" collapsed="false">
      <c r="A23" s="2" t="n">
        <v>22</v>
      </c>
      <c r="B23" s="12" t="n">
        <f aca="false">DATE(2023,1+A23-1,1)</f>
        <v>45566</v>
      </c>
      <c r="C23" s="13" t="n">
        <f aca="false">$I$1*(1+$I$2)^(A23-1)</f>
        <v>22208.4011014532</v>
      </c>
      <c r="D23" s="14" t="n">
        <v>0.86</v>
      </c>
      <c r="E23" s="15" t="n">
        <f aca="true">_xlfn.NORM.INV(RAND(),0,$I$3)</f>
        <v>-0.00114438106239608</v>
      </c>
      <c r="F23" s="13" t="n">
        <f aca="false">ROUND(C23*D23*(1+E23),0)</f>
        <v>19077</v>
      </c>
    </row>
    <row r="24" customFormat="false" ht="15" hidden="false" customHeight="false" outlineLevel="0" collapsed="false">
      <c r="A24" s="2" t="n">
        <v>23</v>
      </c>
      <c r="B24" s="12" t="n">
        <f aca="false">DATE(2023,1+A24-1,1)</f>
        <v>45597</v>
      </c>
      <c r="C24" s="13" t="n">
        <f aca="false">$I$1*(1+$I$2)^(A24-1)</f>
        <v>22319.4431069605</v>
      </c>
      <c r="D24" s="14" t="n">
        <v>1.04</v>
      </c>
      <c r="E24" s="15" t="n">
        <f aca="true">_xlfn.NORM.INV(RAND(),0,$I$3)</f>
        <v>-0.0117337243842183</v>
      </c>
      <c r="F24" s="13" t="n">
        <f aca="false">ROUND(C24*D24*(1+E24),0)</f>
        <v>22940</v>
      </c>
    </row>
    <row r="25" customFormat="false" ht="15" hidden="false" customHeight="false" outlineLevel="0" collapsed="false">
      <c r="A25" s="2" t="n">
        <v>24</v>
      </c>
      <c r="B25" s="12" t="n">
        <f aca="false">DATE(2023,1+A25-1,1)</f>
        <v>45627</v>
      </c>
      <c r="C25" s="13" t="n">
        <f aca="false">$I$1*(1+$I$2)^(A25-1)</f>
        <v>22431.0403224953</v>
      </c>
      <c r="D25" s="14" t="n">
        <v>1.25</v>
      </c>
      <c r="E25" s="15" t="n">
        <f aca="true">_xlfn.NORM.INV(RAND(),0,$I$3)</f>
        <v>-0.0323652398303519</v>
      </c>
      <c r="F25" s="13" t="n">
        <f aca="false">ROUND(C25*D25*(1+E25),0)</f>
        <v>27131</v>
      </c>
    </row>
    <row r="26" customFormat="false" ht="15" hidden="false" customHeight="false" outlineLevel="0" collapsed="false">
      <c r="A26" s="2" t="n">
        <v>25</v>
      </c>
      <c r="B26" s="12" t="n">
        <f aca="false">DATE(2023,1+A26-1,1)</f>
        <v>45658</v>
      </c>
      <c r="C26" s="13" t="n">
        <f aca="false">$I$1*(1+$I$2)^(A26-1)</f>
        <v>22543.1955241078</v>
      </c>
      <c r="D26" s="14" t="n">
        <v>0.96</v>
      </c>
      <c r="E26" s="15" t="n">
        <f aca="true">_xlfn.NORM.INV(RAND(),0,$I$3)</f>
        <v>0.00316671656736237</v>
      </c>
      <c r="F26" s="13" t="n">
        <f aca="false">ROUND(C26*D26*(1+E26),0)</f>
        <v>21710</v>
      </c>
    </row>
    <row r="27" customFormat="false" ht="15" hidden="false" customHeight="false" outlineLevel="0" collapsed="false">
      <c r="A27" s="2" t="n">
        <v>26</v>
      </c>
      <c r="B27" s="12" t="n">
        <f aca="false">DATE(2023,1+A27-1,1)</f>
        <v>45689</v>
      </c>
      <c r="C27" s="13" t="n">
        <f aca="false">$I$1*(1+$I$2)^(A27-1)</f>
        <v>22655.9115017283</v>
      </c>
      <c r="D27" s="14" t="n">
        <v>0.93</v>
      </c>
      <c r="E27" s="15" t="n">
        <f aca="true">_xlfn.NORM.INV(RAND(),0,$I$3)</f>
        <v>-0.0095215947056838</v>
      </c>
      <c r="F27" s="13" t="n">
        <f aca="false">ROUND(C27*D27*(1+E27),0)</f>
        <v>20869</v>
      </c>
    </row>
    <row r="28" customFormat="false" ht="15" hidden="false" customHeight="false" outlineLevel="0" collapsed="false">
      <c r="A28" s="2" t="n">
        <v>27</v>
      </c>
      <c r="B28" s="12" t="n">
        <f aca="false">DATE(2023,1+A28-1,1)</f>
        <v>45717</v>
      </c>
      <c r="C28" s="13" t="n">
        <f aca="false">$I$1*(1+$I$2)^(A28-1)</f>
        <v>22769.191059237</v>
      </c>
      <c r="D28" s="14" t="n">
        <v>1</v>
      </c>
      <c r="E28" s="15" t="n">
        <f aca="true">_xlfn.NORM.INV(RAND(),0,$I$3)</f>
        <v>0.0150462614750352</v>
      </c>
      <c r="F28" s="13" t="n">
        <f aca="false">ROUND(C28*D28*(1+E28),0)</f>
        <v>23112</v>
      </c>
    </row>
    <row r="29" customFormat="false" ht="15" hidden="false" customHeight="false" outlineLevel="0" collapsed="false">
      <c r="A29" s="2" t="n">
        <v>28</v>
      </c>
      <c r="B29" s="12" t="n">
        <f aca="false">DATE(2023,1+A29-1,1)</f>
        <v>45748</v>
      </c>
      <c r="C29" s="13" t="n">
        <f aca="false">$I$1*(1+$I$2)^(A29-1)</f>
        <v>22883.0370145331</v>
      </c>
      <c r="D29" s="14" t="n">
        <v>0.98</v>
      </c>
      <c r="E29" s="15" t="n">
        <f aca="true">_xlfn.NORM.INV(RAND(),0,$I$3)</f>
        <v>0.00186370851593847</v>
      </c>
      <c r="F29" s="13" t="n">
        <f aca="false">ROUND(C29*D29*(1+E29),0)</f>
        <v>22467</v>
      </c>
    </row>
    <row r="30" customFormat="false" ht="15" hidden="false" customHeight="false" outlineLevel="0" collapsed="false">
      <c r="A30" s="2" t="n">
        <v>29</v>
      </c>
      <c r="B30" s="12" t="n">
        <f aca="false">DATE(2023,1+A30-1,1)</f>
        <v>45778</v>
      </c>
      <c r="C30" s="13" t="n">
        <f aca="false">$I$1*(1+$I$2)^(A30-1)</f>
        <v>22997.4521996058</v>
      </c>
      <c r="D30" s="14" t="n">
        <v>1.02</v>
      </c>
      <c r="E30" s="15" t="n">
        <f aca="true">_xlfn.NORM.INV(RAND(),0,$I$3)</f>
        <v>0.0234654593790931</v>
      </c>
      <c r="F30" s="13" t="n">
        <f aca="false">ROUND(C30*D30*(1+E30),0)</f>
        <v>24008</v>
      </c>
    </row>
    <row r="31" customFormat="false" ht="15" hidden="false" customHeight="false" outlineLevel="0" collapsed="false">
      <c r="A31" s="2" t="n">
        <v>30</v>
      </c>
      <c r="B31" s="12" t="n">
        <f aca="false">DATE(2023,1+A31-1,1)</f>
        <v>45809</v>
      </c>
      <c r="C31" s="13" t="n">
        <f aca="false">$I$1*(1+$I$2)^(A31-1)</f>
        <v>23112.4394606038</v>
      </c>
      <c r="D31" s="14" t="n">
        <v>1</v>
      </c>
      <c r="E31" s="15" t="n">
        <f aca="true">_xlfn.NORM.INV(RAND(),0,$I$3)</f>
        <v>0.023259253156076</v>
      </c>
      <c r="F31" s="13" t="n">
        <f aca="false">ROUND(C31*D31*(1+E31),0)</f>
        <v>23650</v>
      </c>
    </row>
    <row r="32" customFormat="false" ht="15" hidden="false" customHeight="false" outlineLevel="0" collapsed="false">
      <c r="A32" s="2" t="n">
        <v>31</v>
      </c>
      <c r="B32" s="12" t="n">
        <f aca="false">DATE(2023,1+A32-1,1)</f>
        <v>45839</v>
      </c>
      <c r="C32" s="13" t="n">
        <f aca="false">$I$1*(1+$I$2)^(A32-1)</f>
        <v>23228.0016579068</v>
      </c>
      <c r="D32" s="14" t="n">
        <v>1.01</v>
      </c>
      <c r="E32" s="15" t="n">
        <f aca="true">_xlfn.NORM.INV(RAND(),0,$I$3)</f>
        <v>0.0156551906684552</v>
      </c>
      <c r="F32" s="13" t="n">
        <f aca="false">ROUND(C32*D32*(1+E32),0)</f>
        <v>23828</v>
      </c>
    </row>
    <row r="33" customFormat="false" ht="15" hidden="false" customHeight="false" outlineLevel="0" collapsed="false">
      <c r="A33" s="2" t="n">
        <v>32</v>
      </c>
      <c r="B33" s="12" t="n">
        <f aca="false">DATE(2023,1+A33-1,1)</f>
        <v>45870</v>
      </c>
      <c r="C33" s="13" t="n">
        <f aca="false">$I$1*(1+$I$2)^(A33-1)</f>
        <v>23344.1416661964</v>
      </c>
      <c r="D33" s="14" t="n">
        <v>1.06</v>
      </c>
      <c r="E33" s="15" t="n">
        <f aca="true">_xlfn.NORM.INV(RAND(),0,$I$3)</f>
        <v>0.0418683472869102</v>
      </c>
      <c r="F33" s="13" t="n">
        <f aca="false">ROUND(C33*D33*(1+E33),0)</f>
        <v>25781</v>
      </c>
    </row>
    <row r="34" customFormat="false" ht="15" hidden="false" customHeight="false" outlineLevel="0" collapsed="false">
      <c r="A34" s="2" t="n">
        <v>33</v>
      </c>
      <c r="B34" s="12" t="n">
        <f aca="false">DATE(2023,1+A34-1,1)</f>
        <v>45901</v>
      </c>
      <c r="C34" s="13" t="n">
        <f aca="false">$I$1*(1+$I$2)^(A34-1)</f>
        <v>23460.8623745274</v>
      </c>
      <c r="D34" s="14" t="n">
        <v>0.89</v>
      </c>
      <c r="E34" s="15" t="n">
        <f aca="true">_xlfn.NORM.INV(RAND(),0,$I$3)</f>
        <v>0.0147639161016714</v>
      </c>
      <c r="F34" s="13" t="n">
        <f aca="false">ROUND(C34*D34*(1+E34),0)</f>
        <v>21188</v>
      </c>
    </row>
    <row r="35" customFormat="false" ht="15" hidden="false" customHeight="false" outlineLevel="0" collapsed="false">
      <c r="A35" s="2" t="n">
        <v>34</v>
      </c>
      <c r="B35" s="12" t="n">
        <f aca="false">DATE(2023,1+A35-1,1)</f>
        <v>45931</v>
      </c>
      <c r="C35" s="13" t="n">
        <f aca="false">$I$1*(1+$I$2)^(A35-1)</f>
        <v>23578.1666864</v>
      </c>
      <c r="D35" s="14" t="n">
        <v>0.86</v>
      </c>
      <c r="E35" s="15" t="n">
        <f aca="true">_xlfn.NORM.INV(RAND(),0,$I$3)</f>
        <v>0.00620501064116194</v>
      </c>
      <c r="F35" s="13" t="n">
        <f aca="false">ROUND(C35*D35*(1+E35),0)</f>
        <v>20403</v>
      </c>
    </row>
    <row r="36" customFormat="false" ht="15" hidden="false" customHeight="false" outlineLevel="0" collapsed="false">
      <c r="A36" s="2" t="n">
        <v>35</v>
      </c>
      <c r="B36" s="12" t="n">
        <f aca="false">DATE(2023,1+A36-1,1)</f>
        <v>45962</v>
      </c>
      <c r="C36" s="13" t="n">
        <f aca="false">$I$1*(1+$I$2)^(A36-1)</f>
        <v>23696.057519832</v>
      </c>
      <c r="D36" s="14" t="n">
        <v>1.04</v>
      </c>
      <c r="E36" s="15" t="n">
        <f aca="true">_xlfn.NORM.INV(RAND(),0,$I$3)</f>
        <v>0.040364487316664</v>
      </c>
      <c r="F36" s="13" t="n">
        <f aca="false">ROUND(C36*D36*(1+E36),0)</f>
        <v>25639</v>
      </c>
    </row>
    <row r="37" customFormat="false" ht="15" hidden="false" customHeight="false" outlineLevel="0" collapsed="false">
      <c r="A37" s="2" t="n">
        <v>36</v>
      </c>
      <c r="B37" s="12" t="n">
        <f aca="false">DATE(2023,1+A37-1,1)</f>
        <v>45992</v>
      </c>
      <c r="C37" s="13" t="n">
        <f aca="false">$I$1*(1+$I$2)^(A37-1)</f>
        <v>23814.5378074311</v>
      </c>
      <c r="D37" s="14" t="n">
        <v>1.25</v>
      </c>
      <c r="E37" s="15" t="n">
        <f aca="true">_xlfn.NORM.INV(RAND(),0,$I$3)</f>
        <v>0.0101826385833137</v>
      </c>
      <c r="F37" s="13" t="n">
        <f aca="false">ROUND(C37*D37*(1+E37),0)</f>
        <v>30071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5" min="3" style="0" width="8"/>
    <col collapsed="false" customWidth="true" hidden="false" outlineLevel="0" max="6" min="6" style="0" width="22"/>
    <col collapsed="false" customWidth="true" hidden="false" outlineLevel="0" max="8" min="8" style="0" width="16"/>
    <col collapsed="false" customWidth="true" hidden="false" outlineLevel="0" max="9" min="9" style="0" width="8"/>
  </cols>
  <sheetData>
    <row r="1" customFormat="false" ht="26.85" hidden="false" customHeight="false" outlineLevel="0" collapsed="false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H1" s="5" t="s">
        <v>45</v>
      </c>
      <c r="I1" s="8" t="n">
        <v>0.9</v>
      </c>
    </row>
    <row r="2" customFormat="false" ht="15" hidden="false" customHeight="false" outlineLevel="0" collapsed="false">
      <c r="A2" s="0" t="n">
        <v>1</v>
      </c>
      <c r="B2" s="17" t="n">
        <f aca="true">_xlfn.NORM.S.INV(RAND())</f>
        <v>0.12078245193786</v>
      </c>
      <c r="C2" s="18" t="n">
        <f aca="true">MIN(7,MAX(1,ROUND(4+$I$2*$B2+_xlfn.NORM.INV(RAND(),0,$I$1),0)))</f>
        <v>5</v>
      </c>
      <c r="D2" s="18" t="n">
        <f aca="true">MIN(7,MAX(1,ROUND(4+$I$2*$B2+_xlfn.NORM.INV(RAND(),0,$I$1),0)))</f>
        <v>4</v>
      </c>
      <c r="E2" s="18" t="n">
        <f aca="true">MIN(7,MAX(1,ROUND(4+$I$2*$B2+_xlfn.NORM.INV(RAND(),0,$I$1),0)))</f>
        <v>4</v>
      </c>
      <c r="F2" s="18" t="n">
        <f aca="true">MIN(7,MAX(1,ROUND(4-$I$2*$B2+_xlfn.NORM.INV(RAND(),0,$I$1),0)))</f>
        <v>3</v>
      </c>
      <c r="H2" s="5" t="s">
        <v>46</v>
      </c>
      <c r="I2" s="8" t="n">
        <v>1.2</v>
      </c>
    </row>
    <row r="3" customFormat="false" ht="15" hidden="false" customHeight="false" outlineLevel="0" collapsed="false">
      <c r="A3" s="0" t="n">
        <v>2</v>
      </c>
      <c r="B3" s="17" t="n">
        <f aca="true">_xlfn.NORM.S.INV(RAND())</f>
        <v>0.448299761496577</v>
      </c>
      <c r="C3" s="18" t="n">
        <f aca="true">MIN(7,MAX(1,ROUND(4+$I$2*$B3+_xlfn.NORM.INV(RAND(),0,$I$1),0)))</f>
        <v>5</v>
      </c>
      <c r="D3" s="18" t="n">
        <f aca="true">MIN(7,MAX(1,ROUND(4+$I$2*$B3+_xlfn.NORM.INV(RAND(),0,$I$1),0)))</f>
        <v>3</v>
      </c>
      <c r="E3" s="18" t="n">
        <f aca="true">MIN(7,MAX(1,ROUND(4+$I$2*$B3+_xlfn.NORM.INV(RAND(),0,$I$1),0)))</f>
        <v>4</v>
      </c>
      <c r="F3" s="18" t="n">
        <f aca="true">MIN(7,MAX(1,ROUND(4-$I$2*$B3+_xlfn.NORM.INV(RAND(),0,$I$1),0)))</f>
        <v>5</v>
      </c>
    </row>
    <row r="4" customFormat="false" ht="15" hidden="false" customHeight="false" outlineLevel="0" collapsed="false">
      <c r="A4" s="0" t="n">
        <v>3</v>
      </c>
      <c r="B4" s="17" t="n">
        <f aca="true">_xlfn.NORM.S.INV(RAND())</f>
        <v>1.81369970152578</v>
      </c>
      <c r="C4" s="18" t="n">
        <f aca="true">MIN(7,MAX(1,ROUND(4+$I$2*$B4+_xlfn.NORM.INV(RAND(),0,$I$1),0)))</f>
        <v>7</v>
      </c>
      <c r="D4" s="18" t="n">
        <f aca="true">MIN(7,MAX(1,ROUND(4+$I$2*$B4+_xlfn.NORM.INV(RAND(),0,$I$1),0)))</f>
        <v>6</v>
      </c>
      <c r="E4" s="18" t="n">
        <f aca="true">MIN(7,MAX(1,ROUND(4+$I$2*$B4+_xlfn.NORM.INV(RAND(),0,$I$1),0)))</f>
        <v>7</v>
      </c>
      <c r="F4" s="18" t="n">
        <f aca="true">MIN(7,MAX(1,ROUND(4-$I$2*$B4+_xlfn.NORM.INV(RAND(),0,$I$1),0)))</f>
        <v>2</v>
      </c>
    </row>
    <row r="5" customFormat="false" ht="15" hidden="false" customHeight="false" outlineLevel="0" collapsed="false">
      <c r="A5" s="0" t="n">
        <v>4</v>
      </c>
      <c r="B5" s="17" t="n">
        <f aca="true">_xlfn.NORM.S.INV(RAND())</f>
        <v>0.575329977602717</v>
      </c>
      <c r="C5" s="18" t="n">
        <f aca="true">MIN(7,MAX(1,ROUND(4+$I$2*$B5+_xlfn.NORM.INV(RAND(),0,$I$1),0)))</f>
        <v>4</v>
      </c>
      <c r="D5" s="18" t="n">
        <f aca="true">MIN(7,MAX(1,ROUND(4+$I$2*$B5+_xlfn.NORM.INV(RAND(),0,$I$1),0)))</f>
        <v>3</v>
      </c>
      <c r="E5" s="18" t="n">
        <f aca="true">MIN(7,MAX(1,ROUND(4+$I$2*$B5+_xlfn.NORM.INV(RAND(),0,$I$1),0)))</f>
        <v>5</v>
      </c>
      <c r="F5" s="18" t="n">
        <f aca="true">MIN(7,MAX(1,ROUND(4-$I$2*$B5+_xlfn.NORM.INV(RAND(),0,$I$1),0)))</f>
        <v>5</v>
      </c>
    </row>
    <row r="6" customFormat="false" ht="15" hidden="false" customHeight="false" outlineLevel="0" collapsed="false">
      <c r="A6" s="0" t="n">
        <v>5</v>
      </c>
      <c r="B6" s="17" t="n">
        <f aca="true">_xlfn.NORM.S.INV(RAND())</f>
        <v>-3.24624007533236</v>
      </c>
      <c r="C6" s="18" t="n">
        <f aca="true">MIN(7,MAX(1,ROUND(4+$I$2*$B6+_xlfn.NORM.INV(RAND(),0,$I$1),0)))</f>
        <v>1</v>
      </c>
      <c r="D6" s="18" t="n">
        <f aca="true">MIN(7,MAX(1,ROUND(4+$I$2*$B6+_xlfn.NORM.INV(RAND(),0,$I$1),0)))</f>
        <v>2</v>
      </c>
      <c r="E6" s="18" t="n">
        <f aca="true">MIN(7,MAX(1,ROUND(4+$I$2*$B6+_xlfn.NORM.INV(RAND(),0,$I$1),0)))</f>
        <v>1</v>
      </c>
      <c r="F6" s="18" t="n">
        <f aca="true">MIN(7,MAX(1,ROUND(4-$I$2*$B6+_xlfn.NORM.INV(RAND(),0,$I$1),0)))</f>
        <v>7</v>
      </c>
    </row>
    <row r="7" customFormat="false" ht="15" hidden="false" customHeight="false" outlineLevel="0" collapsed="false">
      <c r="A7" s="0" t="n">
        <v>6</v>
      </c>
      <c r="B7" s="17" t="n">
        <f aca="true">_xlfn.NORM.S.INV(RAND())</f>
        <v>-0.796661278759267</v>
      </c>
      <c r="C7" s="18" t="n">
        <f aca="true">MIN(7,MAX(1,ROUND(4+$I$2*$B7+_xlfn.NORM.INV(RAND(),0,$I$1),0)))</f>
        <v>5</v>
      </c>
      <c r="D7" s="18" t="n">
        <f aca="true">MIN(7,MAX(1,ROUND(4+$I$2*$B7+_xlfn.NORM.INV(RAND(),0,$I$1),0)))</f>
        <v>3</v>
      </c>
      <c r="E7" s="18" t="n">
        <f aca="true">MIN(7,MAX(1,ROUND(4+$I$2*$B7+_xlfn.NORM.INV(RAND(),0,$I$1),0)))</f>
        <v>3</v>
      </c>
      <c r="F7" s="18" t="n">
        <f aca="true">MIN(7,MAX(1,ROUND(4-$I$2*$B7+_xlfn.NORM.INV(RAND(),0,$I$1),0)))</f>
        <v>6</v>
      </c>
    </row>
    <row r="8" customFormat="false" ht="15" hidden="false" customHeight="false" outlineLevel="0" collapsed="false">
      <c r="A8" s="0" t="n">
        <v>7</v>
      </c>
      <c r="B8" s="17" t="n">
        <f aca="true">_xlfn.NORM.S.INV(RAND())</f>
        <v>1.04124653713733</v>
      </c>
      <c r="C8" s="18" t="n">
        <f aca="true">MIN(7,MAX(1,ROUND(4+$I$2*$B8+_xlfn.NORM.INV(RAND(),0,$I$1),0)))</f>
        <v>6</v>
      </c>
      <c r="D8" s="18" t="n">
        <f aca="true">MIN(7,MAX(1,ROUND(4+$I$2*$B8+_xlfn.NORM.INV(RAND(),0,$I$1),0)))</f>
        <v>6</v>
      </c>
      <c r="E8" s="18" t="n">
        <f aca="true">MIN(7,MAX(1,ROUND(4+$I$2*$B8+_xlfn.NORM.INV(RAND(),0,$I$1),0)))</f>
        <v>5</v>
      </c>
      <c r="F8" s="18" t="n">
        <f aca="true">MIN(7,MAX(1,ROUND(4-$I$2*$B8+_xlfn.NORM.INV(RAND(),0,$I$1),0)))</f>
        <v>3</v>
      </c>
    </row>
    <row r="9" customFormat="false" ht="15" hidden="false" customHeight="false" outlineLevel="0" collapsed="false">
      <c r="A9" s="0" t="n">
        <v>8</v>
      </c>
      <c r="B9" s="17" t="n">
        <f aca="true">_xlfn.NORM.S.INV(RAND())</f>
        <v>-0.0730775353951172</v>
      </c>
      <c r="C9" s="18" t="n">
        <f aca="true">MIN(7,MAX(1,ROUND(4+$I$2*$B9+_xlfn.NORM.INV(RAND(),0,$I$1),0)))</f>
        <v>3</v>
      </c>
      <c r="D9" s="18" t="n">
        <f aca="true">MIN(7,MAX(1,ROUND(4+$I$2*$B9+_xlfn.NORM.INV(RAND(),0,$I$1),0)))</f>
        <v>3</v>
      </c>
      <c r="E9" s="18" t="n">
        <f aca="true">MIN(7,MAX(1,ROUND(4+$I$2*$B9+_xlfn.NORM.INV(RAND(),0,$I$1),0)))</f>
        <v>2</v>
      </c>
      <c r="F9" s="18" t="n">
        <f aca="true">MIN(7,MAX(1,ROUND(4-$I$2*$B9+_xlfn.NORM.INV(RAND(),0,$I$1),0)))</f>
        <v>1</v>
      </c>
    </row>
    <row r="10" customFormat="false" ht="15" hidden="false" customHeight="false" outlineLevel="0" collapsed="false">
      <c r="A10" s="0" t="n">
        <v>9</v>
      </c>
      <c r="B10" s="17" t="n">
        <f aca="true">_xlfn.NORM.S.INV(RAND())</f>
        <v>1.14169288246353</v>
      </c>
      <c r="C10" s="18" t="n">
        <f aca="true">MIN(7,MAX(1,ROUND(4+$I$2*$B10+_xlfn.NORM.INV(RAND(),0,$I$1),0)))</f>
        <v>5</v>
      </c>
      <c r="D10" s="18" t="n">
        <f aca="true">MIN(7,MAX(1,ROUND(4+$I$2*$B10+_xlfn.NORM.INV(RAND(),0,$I$1),0)))</f>
        <v>3</v>
      </c>
      <c r="E10" s="18" t="n">
        <f aca="true">MIN(7,MAX(1,ROUND(4+$I$2*$B10+_xlfn.NORM.INV(RAND(),0,$I$1),0)))</f>
        <v>4</v>
      </c>
      <c r="F10" s="18" t="n">
        <f aca="true">MIN(7,MAX(1,ROUND(4-$I$2*$B10+_xlfn.NORM.INV(RAND(),0,$I$1),0)))</f>
        <v>2</v>
      </c>
    </row>
    <row r="11" customFormat="false" ht="15" hidden="false" customHeight="false" outlineLevel="0" collapsed="false">
      <c r="A11" s="0" t="n">
        <v>10</v>
      </c>
      <c r="B11" s="17" t="n">
        <f aca="true">_xlfn.NORM.S.INV(RAND())</f>
        <v>0.558441598142681</v>
      </c>
      <c r="C11" s="18" t="n">
        <f aca="true">MIN(7,MAX(1,ROUND(4+$I$2*$B11+_xlfn.NORM.INV(RAND(),0,$I$1),0)))</f>
        <v>6</v>
      </c>
      <c r="D11" s="18" t="n">
        <f aca="true">MIN(7,MAX(1,ROUND(4+$I$2*$B11+_xlfn.NORM.INV(RAND(),0,$I$1),0)))</f>
        <v>4</v>
      </c>
      <c r="E11" s="18" t="n">
        <f aca="true">MIN(7,MAX(1,ROUND(4+$I$2*$B11+_xlfn.NORM.INV(RAND(),0,$I$1),0)))</f>
        <v>6</v>
      </c>
      <c r="F11" s="18" t="n">
        <f aca="true">MIN(7,MAX(1,ROUND(4-$I$2*$B11+_xlfn.NORM.INV(RAND(),0,$I$1),0)))</f>
        <v>2</v>
      </c>
    </row>
    <row r="12" customFormat="false" ht="15" hidden="false" customHeight="false" outlineLevel="0" collapsed="false">
      <c r="A12" s="0" t="n">
        <v>11</v>
      </c>
      <c r="B12" s="17" t="n">
        <f aca="true">_xlfn.NORM.S.INV(RAND())</f>
        <v>0.304277728111717</v>
      </c>
      <c r="C12" s="18" t="n">
        <f aca="true">MIN(7,MAX(1,ROUND(4+$I$2*$B12+_xlfn.NORM.INV(RAND(),0,$I$1),0)))</f>
        <v>5</v>
      </c>
      <c r="D12" s="18" t="n">
        <f aca="true">MIN(7,MAX(1,ROUND(4+$I$2*$B12+_xlfn.NORM.INV(RAND(),0,$I$1),0)))</f>
        <v>5</v>
      </c>
      <c r="E12" s="18" t="n">
        <f aca="true">MIN(7,MAX(1,ROUND(4+$I$2*$B12+_xlfn.NORM.INV(RAND(),0,$I$1),0)))</f>
        <v>4</v>
      </c>
      <c r="F12" s="18" t="n">
        <f aca="true">MIN(7,MAX(1,ROUND(4-$I$2*$B12+_xlfn.NORM.INV(RAND(),0,$I$1),0)))</f>
        <v>3</v>
      </c>
    </row>
    <row r="13" customFormat="false" ht="15" hidden="false" customHeight="false" outlineLevel="0" collapsed="false">
      <c r="A13" s="0" t="n">
        <v>12</v>
      </c>
      <c r="B13" s="17" t="n">
        <f aca="true">_xlfn.NORM.S.INV(RAND())</f>
        <v>0.540258667423532</v>
      </c>
      <c r="C13" s="18" t="n">
        <f aca="true">MIN(7,MAX(1,ROUND(4+$I$2*$B13+_xlfn.NORM.INV(RAND(),0,$I$1),0)))</f>
        <v>6</v>
      </c>
      <c r="D13" s="18" t="n">
        <f aca="true">MIN(7,MAX(1,ROUND(4+$I$2*$B13+_xlfn.NORM.INV(RAND(),0,$I$1),0)))</f>
        <v>5</v>
      </c>
      <c r="E13" s="18" t="n">
        <f aca="true">MIN(7,MAX(1,ROUND(4+$I$2*$B13+_xlfn.NORM.INV(RAND(),0,$I$1),0)))</f>
        <v>5</v>
      </c>
      <c r="F13" s="18" t="n">
        <f aca="true">MIN(7,MAX(1,ROUND(4-$I$2*$B13+_xlfn.NORM.INV(RAND(),0,$I$1),0)))</f>
        <v>4</v>
      </c>
    </row>
    <row r="14" customFormat="false" ht="15" hidden="false" customHeight="false" outlineLevel="0" collapsed="false">
      <c r="A14" s="0" t="n">
        <v>13</v>
      </c>
      <c r="B14" s="17" t="n">
        <f aca="true">_xlfn.NORM.S.INV(RAND())</f>
        <v>1.01670490154376</v>
      </c>
      <c r="C14" s="18" t="n">
        <f aca="true">MIN(7,MAX(1,ROUND(4+$I$2*$B14+_xlfn.NORM.INV(RAND(),0,$I$1),0)))</f>
        <v>6</v>
      </c>
      <c r="D14" s="18" t="n">
        <f aca="true">MIN(7,MAX(1,ROUND(4+$I$2*$B14+_xlfn.NORM.INV(RAND(),0,$I$1),0)))</f>
        <v>5</v>
      </c>
      <c r="E14" s="18" t="n">
        <f aca="true">MIN(7,MAX(1,ROUND(4+$I$2*$B14+_xlfn.NORM.INV(RAND(),0,$I$1),0)))</f>
        <v>4</v>
      </c>
      <c r="F14" s="18" t="n">
        <f aca="true">MIN(7,MAX(1,ROUND(4-$I$2*$B14+_xlfn.NORM.INV(RAND(),0,$I$1),0)))</f>
        <v>3</v>
      </c>
    </row>
    <row r="15" customFormat="false" ht="15" hidden="false" customHeight="false" outlineLevel="0" collapsed="false">
      <c r="A15" s="0" t="n">
        <v>14</v>
      </c>
      <c r="B15" s="17" t="n">
        <f aca="true">_xlfn.NORM.S.INV(RAND())</f>
        <v>-0.10344080649458</v>
      </c>
      <c r="C15" s="18" t="n">
        <f aca="true">MIN(7,MAX(1,ROUND(4+$I$2*$B15+_xlfn.NORM.INV(RAND(),0,$I$1),0)))</f>
        <v>4</v>
      </c>
      <c r="D15" s="18" t="n">
        <f aca="true">MIN(7,MAX(1,ROUND(4+$I$2*$B15+_xlfn.NORM.INV(RAND(),0,$I$1),0)))</f>
        <v>5</v>
      </c>
      <c r="E15" s="18" t="n">
        <f aca="true">MIN(7,MAX(1,ROUND(4+$I$2*$B15+_xlfn.NORM.INV(RAND(),0,$I$1),0)))</f>
        <v>3</v>
      </c>
      <c r="F15" s="18" t="n">
        <f aca="true">MIN(7,MAX(1,ROUND(4-$I$2*$B15+_xlfn.NORM.INV(RAND(),0,$I$1),0)))</f>
        <v>3</v>
      </c>
    </row>
    <row r="16" customFormat="false" ht="15" hidden="false" customHeight="false" outlineLevel="0" collapsed="false">
      <c r="A16" s="0" t="n">
        <v>15</v>
      </c>
      <c r="B16" s="17" t="n">
        <f aca="true">_xlfn.NORM.S.INV(RAND())</f>
        <v>0.547756506397329</v>
      </c>
      <c r="C16" s="18" t="n">
        <f aca="true">MIN(7,MAX(1,ROUND(4+$I$2*$B16+_xlfn.NORM.INV(RAND(),0,$I$1),0)))</f>
        <v>4</v>
      </c>
      <c r="D16" s="18" t="n">
        <f aca="true">MIN(7,MAX(1,ROUND(4+$I$2*$B16+_xlfn.NORM.INV(RAND(),0,$I$1),0)))</f>
        <v>6</v>
      </c>
      <c r="E16" s="18" t="n">
        <f aca="true">MIN(7,MAX(1,ROUND(4+$I$2*$B16+_xlfn.NORM.INV(RAND(),0,$I$1),0)))</f>
        <v>4</v>
      </c>
      <c r="F16" s="18" t="n">
        <f aca="true">MIN(7,MAX(1,ROUND(4-$I$2*$B16+_xlfn.NORM.INV(RAND(),0,$I$1),0)))</f>
        <v>5</v>
      </c>
    </row>
    <row r="17" customFormat="false" ht="15" hidden="false" customHeight="false" outlineLevel="0" collapsed="false">
      <c r="A17" s="0" t="n">
        <v>16</v>
      </c>
      <c r="B17" s="17" t="n">
        <f aca="true">_xlfn.NORM.S.INV(RAND())</f>
        <v>-0.915025434759362</v>
      </c>
      <c r="C17" s="18" t="n">
        <f aca="true">MIN(7,MAX(1,ROUND(4+$I$2*$B17+_xlfn.NORM.INV(RAND(),0,$I$1),0)))</f>
        <v>3</v>
      </c>
      <c r="D17" s="18" t="n">
        <f aca="true">MIN(7,MAX(1,ROUND(4+$I$2*$B17+_xlfn.NORM.INV(RAND(),0,$I$1),0)))</f>
        <v>4</v>
      </c>
      <c r="E17" s="18" t="n">
        <f aca="true">MIN(7,MAX(1,ROUND(4+$I$2*$B17+_xlfn.NORM.INV(RAND(),0,$I$1),0)))</f>
        <v>2</v>
      </c>
      <c r="F17" s="18" t="n">
        <f aca="true">MIN(7,MAX(1,ROUND(4-$I$2*$B17+_xlfn.NORM.INV(RAND(),0,$I$1),0)))</f>
        <v>5</v>
      </c>
    </row>
    <row r="18" customFormat="false" ht="15" hidden="false" customHeight="false" outlineLevel="0" collapsed="false">
      <c r="A18" s="0" t="n">
        <v>17</v>
      </c>
      <c r="B18" s="17" t="n">
        <f aca="true">_xlfn.NORM.S.INV(RAND())</f>
        <v>-0.214065062614958</v>
      </c>
      <c r="C18" s="18" t="n">
        <f aca="true">MIN(7,MAX(1,ROUND(4+$I$2*$B18+_xlfn.NORM.INV(RAND(),0,$I$1),0)))</f>
        <v>3</v>
      </c>
      <c r="D18" s="18" t="n">
        <f aca="true">MIN(7,MAX(1,ROUND(4+$I$2*$B18+_xlfn.NORM.INV(RAND(),0,$I$1),0)))</f>
        <v>2</v>
      </c>
      <c r="E18" s="18" t="n">
        <f aca="true">MIN(7,MAX(1,ROUND(4+$I$2*$B18+_xlfn.NORM.INV(RAND(),0,$I$1),0)))</f>
        <v>3</v>
      </c>
      <c r="F18" s="18" t="n">
        <f aca="true">MIN(7,MAX(1,ROUND(4-$I$2*$B18+_xlfn.NORM.INV(RAND(),0,$I$1),0)))</f>
        <v>5</v>
      </c>
    </row>
    <row r="19" customFormat="false" ht="15" hidden="false" customHeight="false" outlineLevel="0" collapsed="false">
      <c r="A19" s="0" t="n">
        <v>18</v>
      </c>
      <c r="B19" s="17" t="n">
        <f aca="true">_xlfn.NORM.S.INV(RAND())</f>
        <v>0.350805159780888</v>
      </c>
      <c r="C19" s="18" t="n">
        <f aca="true">MIN(7,MAX(1,ROUND(4+$I$2*$B19+_xlfn.NORM.INV(RAND(),0,$I$1),0)))</f>
        <v>4</v>
      </c>
      <c r="D19" s="18" t="n">
        <f aca="true">MIN(7,MAX(1,ROUND(4+$I$2*$B19+_xlfn.NORM.INV(RAND(),0,$I$1),0)))</f>
        <v>4</v>
      </c>
      <c r="E19" s="18" t="n">
        <f aca="true">MIN(7,MAX(1,ROUND(4+$I$2*$B19+_xlfn.NORM.INV(RAND(),0,$I$1),0)))</f>
        <v>5</v>
      </c>
      <c r="F19" s="18" t="n">
        <f aca="true">MIN(7,MAX(1,ROUND(4-$I$2*$B19+_xlfn.NORM.INV(RAND(),0,$I$1),0)))</f>
        <v>2</v>
      </c>
    </row>
    <row r="20" customFormat="false" ht="15" hidden="false" customHeight="false" outlineLevel="0" collapsed="false">
      <c r="A20" s="0" t="n">
        <v>19</v>
      </c>
      <c r="B20" s="17" t="n">
        <f aca="true">_xlfn.NORM.S.INV(RAND())</f>
        <v>0.320330064447727</v>
      </c>
      <c r="C20" s="18" t="n">
        <f aca="true">MIN(7,MAX(1,ROUND(4+$I$2*$B20+_xlfn.NORM.INV(RAND(),0,$I$1),0)))</f>
        <v>4</v>
      </c>
      <c r="D20" s="18" t="n">
        <f aca="true">MIN(7,MAX(1,ROUND(4+$I$2*$B20+_xlfn.NORM.INV(RAND(),0,$I$1),0)))</f>
        <v>5</v>
      </c>
      <c r="E20" s="18" t="n">
        <f aca="true">MIN(7,MAX(1,ROUND(4+$I$2*$B20+_xlfn.NORM.INV(RAND(),0,$I$1),0)))</f>
        <v>6</v>
      </c>
      <c r="F20" s="18" t="n">
        <f aca="true">MIN(7,MAX(1,ROUND(4-$I$2*$B20+_xlfn.NORM.INV(RAND(),0,$I$1),0)))</f>
        <v>2</v>
      </c>
    </row>
    <row r="21" customFormat="false" ht="15" hidden="false" customHeight="false" outlineLevel="0" collapsed="false">
      <c r="A21" s="0" t="n">
        <v>20</v>
      </c>
      <c r="B21" s="17" t="n">
        <f aca="true">_xlfn.NORM.S.INV(RAND())</f>
        <v>-1.02431699256813</v>
      </c>
      <c r="C21" s="18" t="n">
        <f aca="true">MIN(7,MAX(1,ROUND(4+$I$2*$B21+_xlfn.NORM.INV(RAND(),0,$I$1),0)))</f>
        <v>3</v>
      </c>
      <c r="D21" s="18" t="n">
        <f aca="true">MIN(7,MAX(1,ROUND(4+$I$2*$B21+_xlfn.NORM.INV(RAND(),0,$I$1),0)))</f>
        <v>3</v>
      </c>
      <c r="E21" s="18" t="n">
        <f aca="true">MIN(7,MAX(1,ROUND(4+$I$2*$B21+_xlfn.NORM.INV(RAND(),0,$I$1),0)))</f>
        <v>4</v>
      </c>
      <c r="F21" s="18" t="n">
        <f aca="true">MIN(7,MAX(1,ROUND(4-$I$2*$B21+_xlfn.NORM.INV(RAND(),0,$I$1),0)))</f>
        <v>5</v>
      </c>
    </row>
    <row r="22" customFormat="false" ht="15" hidden="false" customHeight="false" outlineLevel="0" collapsed="false">
      <c r="A22" s="0" t="n">
        <v>21</v>
      </c>
      <c r="B22" s="17" t="n">
        <f aca="true">_xlfn.NORM.S.INV(RAND())</f>
        <v>0.298384483443431</v>
      </c>
      <c r="C22" s="18" t="n">
        <f aca="true">MIN(7,MAX(1,ROUND(4+$I$2*$B22+_xlfn.NORM.INV(RAND(),0,$I$1),0)))</f>
        <v>2</v>
      </c>
      <c r="D22" s="18" t="n">
        <f aca="true">MIN(7,MAX(1,ROUND(4+$I$2*$B22+_xlfn.NORM.INV(RAND(),0,$I$1),0)))</f>
        <v>5</v>
      </c>
      <c r="E22" s="18" t="n">
        <f aca="true">MIN(7,MAX(1,ROUND(4+$I$2*$B22+_xlfn.NORM.INV(RAND(),0,$I$1),0)))</f>
        <v>5</v>
      </c>
      <c r="F22" s="18" t="n">
        <f aca="true">MIN(7,MAX(1,ROUND(4-$I$2*$B22+_xlfn.NORM.INV(RAND(),0,$I$1),0)))</f>
        <v>3</v>
      </c>
    </row>
    <row r="23" customFormat="false" ht="15" hidden="false" customHeight="false" outlineLevel="0" collapsed="false">
      <c r="A23" s="0" t="n">
        <v>22</v>
      </c>
      <c r="B23" s="17" t="n">
        <f aca="true">_xlfn.NORM.S.INV(RAND())</f>
        <v>0.427175674847318</v>
      </c>
      <c r="C23" s="18" t="n">
        <f aca="true">MIN(7,MAX(1,ROUND(4+$I$2*$B23+_xlfn.NORM.INV(RAND(),0,$I$1),0)))</f>
        <v>5</v>
      </c>
      <c r="D23" s="18" t="n">
        <f aca="true">MIN(7,MAX(1,ROUND(4+$I$2*$B23+_xlfn.NORM.INV(RAND(),0,$I$1),0)))</f>
        <v>4</v>
      </c>
      <c r="E23" s="18" t="n">
        <f aca="true">MIN(7,MAX(1,ROUND(4+$I$2*$B23+_xlfn.NORM.INV(RAND(),0,$I$1),0)))</f>
        <v>4</v>
      </c>
      <c r="F23" s="18" t="n">
        <f aca="true">MIN(7,MAX(1,ROUND(4-$I$2*$B23+_xlfn.NORM.INV(RAND(),0,$I$1),0)))</f>
        <v>5</v>
      </c>
    </row>
    <row r="24" customFormat="false" ht="15" hidden="false" customHeight="false" outlineLevel="0" collapsed="false">
      <c r="A24" s="0" t="n">
        <v>23</v>
      </c>
      <c r="B24" s="17" t="n">
        <f aca="true">_xlfn.NORM.S.INV(RAND())</f>
        <v>1.67661258999287</v>
      </c>
      <c r="C24" s="18" t="n">
        <f aca="true">MIN(7,MAX(1,ROUND(4+$I$2*$B24+_xlfn.NORM.INV(RAND(),0,$I$1),0)))</f>
        <v>6</v>
      </c>
      <c r="D24" s="18" t="n">
        <f aca="true">MIN(7,MAX(1,ROUND(4+$I$2*$B24+_xlfn.NORM.INV(RAND(),0,$I$1),0)))</f>
        <v>5</v>
      </c>
      <c r="E24" s="18" t="n">
        <f aca="true">MIN(7,MAX(1,ROUND(4+$I$2*$B24+_xlfn.NORM.INV(RAND(),0,$I$1),0)))</f>
        <v>5</v>
      </c>
      <c r="F24" s="18" t="n">
        <f aca="true">MIN(7,MAX(1,ROUND(4-$I$2*$B24+_xlfn.NORM.INV(RAND(),0,$I$1),0)))</f>
        <v>3</v>
      </c>
    </row>
    <row r="25" customFormat="false" ht="15" hidden="false" customHeight="false" outlineLevel="0" collapsed="false">
      <c r="A25" s="0" t="n">
        <v>24</v>
      </c>
      <c r="B25" s="17" t="n">
        <f aca="true">_xlfn.NORM.S.INV(RAND())</f>
        <v>-0.361167443803723</v>
      </c>
      <c r="C25" s="18" t="n">
        <f aca="true">MIN(7,MAX(1,ROUND(4+$I$2*$B25+_xlfn.NORM.INV(RAND(),0,$I$1),0)))</f>
        <v>4</v>
      </c>
      <c r="D25" s="18" t="n">
        <f aca="true">MIN(7,MAX(1,ROUND(4+$I$2*$B25+_xlfn.NORM.INV(RAND(),0,$I$1),0)))</f>
        <v>5</v>
      </c>
      <c r="E25" s="18" t="n">
        <f aca="true">MIN(7,MAX(1,ROUND(4+$I$2*$B25+_xlfn.NORM.INV(RAND(),0,$I$1),0)))</f>
        <v>2</v>
      </c>
      <c r="F25" s="18" t="n">
        <f aca="true">MIN(7,MAX(1,ROUND(4-$I$2*$B25+_xlfn.NORM.INV(RAND(),0,$I$1),0)))</f>
        <v>5</v>
      </c>
    </row>
    <row r="26" customFormat="false" ht="15" hidden="false" customHeight="false" outlineLevel="0" collapsed="false">
      <c r="A26" s="0" t="n">
        <v>25</v>
      </c>
      <c r="B26" s="17" t="n">
        <f aca="true">_xlfn.NORM.S.INV(RAND())</f>
        <v>-1.66076975007718</v>
      </c>
      <c r="C26" s="18" t="n">
        <f aca="true">MIN(7,MAX(1,ROUND(4+$I$2*$B26+_xlfn.NORM.INV(RAND(),0,$I$1),0)))</f>
        <v>2</v>
      </c>
      <c r="D26" s="18" t="n">
        <f aca="true">MIN(7,MAX(1,ROUND(4+$I$2*$B26+_xlfn.NORM.INV(RAND(),0,$I$1),0)))</f>
        <v>1</v>
      </c>
      <c r="E26" s="18" t="n">
        <f aca="true">MIN(7,MAX(1,ROUND(4+$I$2*$B26+_xlfn.NORM.INV(RAND(),0,$I$1),0)))</f>
        <v>4</v>
      </c>
      <c r="F26" s="18" t="n">
        <f aca="true">MIN(7,MAX(1,ROUND(4-$I$2*$B26+_xlfn.NORM.INV(RAND(),0,$I$1),0)))</f>
        <v>6</v>
      </c>
    </row>
    <row r="27" customFormat="false" ht="15" hidden="false" customHeight="false" outlineLevel="0" collapsed="false">
      <c r="A27" s="0" t="n">
        <v>26</v>
      </c>
      <c r="B27" s="17" t="n">
        <f aca="true">_xlfn.NORM.S.INV(RAND())</f>
        <v>-0.616302812054943</v>
      </c>
      <c r="C27" s="18" t="n">
        <f aca="true">MIN(7,MAX(1,ROUND(4+$I$2*$B27+_xlfn.NORM.INV(RAND(),0,$I$1),0)))</f>
        <v>4</v>
      </c>
      <c r="D27" s="18" t="n">
        <f aca="true">MIN(7,MAX(1,ROUND(4+$I$2*$B27+_xlfn.NORM.INV(RAND(),0,$I$1),0)))</f>
        <v>3</v>
      </c>
      <c r="E27" s="18" t="n">
        <f aca="true">MIN(7,MAX(1,ROUND(4+$I$2*$B27+_xlfn.NORM.INV(RAND(),0,$I$1),0)))</f>
        <v>5</v>
      </c>
      <c r="F27" s="18" t="n">
        <f aca="true">MIN(7,MAX(1,ROUND(4-$I$2*$B27+_xlfn.NORM.INV(RAND(),0,$I$1),0)))</f>
        <v>5</v>
      </c>
    </row>
    <row r="28" customFormat="false" ht="15" hidden="false" customHeight="false" outlineLevel="0" collapsed="false">
      <c r="A28" s="0" t="n">
        <v>27</v>
      </c>
      <c r="B28" s="17" t="n">
        <f aca="true">_xlfn.NORM.S.INV(RAND())</f>
        <v>-0.0284842578647554</v>
      </c>
      <c r="C28" s="18" t="n">
        <f aca="true">MIN(7,MAX(1,ROUND(4+$I$2*$B28+_xlfn.NORM.INV(RAND(),0,$I$1),0)))</f>
        <v>3</v>
      </c>
      <c r="D28" s="18" t="n">
        <f aca="true">MIN(7,MAX(1,ROUND(4+$I$2*$B28+_xlfn.NORM.INV(RAND(),0,$I$1),0)))</f>
        <v>6</v>
      </c>
      <c r="E28" s="18" t="n">
        <f aca="true">MIN(7,MAX(1,ROUND(4+$I$2*$B28+_xlfn.NORM.INV(RAND(),0,$I$1),0)))</f>
        <v>4</v>
      </c>
      <c r="F28" s="18" t="n">
        <f aca="true">MIN(7,MAX(1,ROUND(4-$I$2*$B28+_xlfn.NORM.INV(RAND(),0,$I$1),0)))</f>
        <v>4</v>
      </c>
    </row>
    <row r="29" customFormat="false" ht="15" hidden="false" customHeight="false" outlineLevel="0" collapsed="false">
      <c r="A29" s="0" t="n">
        <v>28</v>
      </c>
      <c r="B29" s="17" t="n">
        <f aca="true">_xlfn.NORM.S.INV(RAND())</f>
        <v>0.237137005613781</v>
      </c>
      <c r="C29" s="18" t="n">
        <f aca="true">MIN(7,MAX(1,ROUND(4+$I$2*$B29+_xlfn.NORM.INV(RAND(),0,$I$1),0)))</f>
        <v>4</v>
      </c>
      <c r="D29" s="18" t="n">
        <f aca="true">MIN(7,MAX(1,ROUND(4+$I$2*$B29+_xlfn.NORM.INV(RAND(),0,$I$1),0)))</f>
        <v>3</v>
      </c>
      <c r="E29" s="18" t="n">
        <f aca="true">MIN(7,MAX(1,ROUND(4+$I$2*$B29+_xlfn.NORM.INV(RAND(),0,$I$1),0)))</f>
        <v>4</v>
      </c>
      <c r="F29" s="18" t="n">
        <f aca="true">MIN(7,MAX(1,ROUND(4-$I$2*$B29+_xlfn.NORM.INV(RAND(),0,$I$1),0)))</f>
        <v>4</v>
      </c>
    </row>
    <row r="30" customFormat="false" ht="15" hidden="false" customHeight="false" outlineLevel="0" collapsed="false">
      <c r="A30" s="0" t="n">
        <v>29</v>
      </c>
      <c r="B30" s="17" t="n">
        <f aca="true">_xlfn.NORM.S.INV(RAND())</f>
        <v>-0.63917683162083</v>
      </c>
      <c r="C30" s="18" t="n">
        <f aca="true">MIN(7,MAX(1,ROUND(4+$I$2*$B30+_xlfn.NORM.INV(RAND(),0,$I$1),0)))</f>
        <v>3</v>
      </c>
      <c r="D30" s="18" t="n">
        <f aca="true">MIN(7,MAX(1,ROUND(4+$I$2*$B30+_xlfn.NORM.INV(RAND(),0,$I$1),0)))</f>
        <v>3</v>
      </c>
      <c r="E30" s="18" t="n">
        <f aca="true">MIN(7,MAX(1,ROUND(4+$I$2*$B30+_xlfn.NORM.INV(RAND(),0,$I$1),0)))</f>
        <v>3</v>
      </c>
      <c r="F30" s="18" t="n">
        <f aca="true">MIN(7,MAX(1,ROUND(4-$I$2*$B30+_xlfn.NORM.INV(RAND(),0,$I$1),0)))</f>
        <v>4</v>
      </c>
    </row>
    <row r="31" customFormat="false" ht="15" hidden="false" customHeight="false" outlineLevel="0" collapsed="false">
      <c r="A31" s="0" t="n">
        <v>30</v>
      </c>
      <c r="B31" s="17" t="n">
        <f aca="true">_xlfn.NORM.S.INV(RAND())</f>
        <v>-0.7620245814884</v>
      </c>
      <c r="C31" s="18" t="n">
        <f aca="true">MIN(7,MAX(1,ROUND(4+$I$2*$B31+_xlfn.NORM.INV(RAND(),0,$I$1),0)))</f>
        <v>2</v>
      </c>
      <c r="D31" s="18" t="n">
        <f aca="true">MIN(7,MAX(1,ROUND(4+$I$2*$B31+_xlfn.NORM.INV(RAND(),0,$I$1),0)))</f>
        <v>4</v>
      </c>
      <c r="E31" s="18" t="n">
        <f aca="true">MIN(7,MAX(1,ROUND(4+$I$2*$B31+_xlfn.NORM.INV(RAND(),0,$I$1),0)))</f>
        <v>2</v>
      </c>
      <c r="F31" s="18" t="n">
        <f aca="true">MIN(7,MAX(1,ROUND(4-$I$2*$B31+_xlfn.NORM.INV(RAND(),0,$I$1),0)))</f>
        <v>6</v>
      </c>
    </row>
    <row r="32" customFormat="false" ht="15" hidden="false" customHeight="false" outlineLevel="0" collapsed="false">
      <c r="A32" s="0" t="n">
        <v>31</v>
      </c>
      <c r="B32" s="17" t="n">
        <f aca="true">_xlfn.NORM.S.INV(RAND())</f>
        <v>0.54269896818314</v>
      </c>
      <c r="C32" s="18" t="n">
        <f aca="true">MIN(7,MAX(1,ROUND(4+$I$2*$B32+_xlfn.NORM.INV(RAND(),0,$I$1),0)))</f>
        <v>4</v>
      </c>
      <c r="D32" s="18" t="n">
        <f aca="true">MIN(7,MAX(1,ROUND(4+$I$2*$B32+_xlfn.NORM.INV(RAND(),0,$I$1),0)))</f>
        <v>5</v>
      </c>
      <c r="E32" s="18" t="n">
        <f aca="true">MIN(7,MAX(1,ROUND(4+$I$2*$B32+_xlfn.NORM.INV(RAND(),0,$I$1),0)))</f>
        <v>6</v>
      </c>
      <c r="F32" s="18" t="n">
        <f aca="true">MIN(7,MAX(1,ROUND(4-$I$2*$B32+_xlfn.NORM.INV(RAND(),0,$I$1),0)))</f>
        <v>3</v>
      </c>
    </row>
    <row r="33" customFormat="false" ht="15" hidden="false" customHeight="false" outlineLevel="0" collapsed="false">
      <c r="A33" s="0" t="n">
        <v>32</v>
      </c>
      <c r="B33" s="17" t="n">
        <f aca="true">_xlfn.NORM.S.INV(RAND())</f>
        <v>2.05392927948415</v>
      </c>
      <c r="C33" s="18" t="n">
        <f aca="true">MIN(7,MAX(1,ROUND(4+$I$2*$B33+_xlfn.NORM.INV(RAND(),0,$I$1),0)))</f>
        <v>6</v>
      </c>
      <c r="D33" s="18" t="n">
        <f aca="true">MIN(7,MAX(1,ROUND(4+$I$2*$B33+_xlfn.NORM.INV(RAND(),0,$I$1),0)))</f>
        <v>7</v>
      </c>
      <c r="E33" s="18" t="n">
        <f aca="true">MIN(7,MAX(1,ROUND(4+$I$2*$B33+_xlfn.NORM.INV(RAND(),0,$I$1),0)))</f>
        <v>7</v>
      </c>
      <c r="F33" s="18" t="n">
        <f aca="true">MIN(7,MAX(1,ROUND(4-$I$2*$B33+_xlfn.NORM.INV(RAND(),0,$I$1),0)))</f>
        <v>1</v>
      </c>
    </row>
    <row r="34" customFormat="false" ht="15" hidden="false" customHeight="false" outlineLevel="0" collapsed="false">
      <c r="A34" s="0" t="n">
        <v>33</v>
      </c>
      <c r="B34" s="17" t="n">
        <f aca="true">_xlfn.NORM.S.INV(RAND())</f>
        <v>0.159806655352396</v>
      </c>
      <c r="C34" s="18" t="n">
        <f aca="true">MIN(7,MAX(1,ROUND(4+$I$2*$B34+_xlfn.NORM.INV(RAND(),0,$I$1),0)))</f>
        <v>3</v>
      </c>
      <c r="D34" s="18" t="n">
        <f aca="true">MIN(7,MAX(1,ROUND(4+$I$2*$B34+_xlfn.NORM.INV(RAND(),0,$I$1),0)))</f>
        <v>5</v>
      </c>
      <c r="E34" s="18" t="n">
        <f aca="true">MIN(7,MAX(1,ROUND(4+$I$2*$B34+_xlfn.NORM.INV(RAND(),0,$I$1),0)))</f>
        <v>5</v>
      </c>
      <c r="F34" s="18" t="n">
        <f aca="true">MIN(7,MAX(1,ROUND(4-$I$2*$B34+_xlfn.NORM.INV(RAND(),0,$I$1),0)))</f>
        <v>5</v>
      </c>
    </row>
    <row r="35" customFormat="false" ht="15" hidden="false" customHeight="false" outlineLevel="0" collapsed="false">
      <c r="A35" s="0" t="n">
        <v>34</v>
      </c>
      <c r="B35" s="17" t="n">
        <f aca="true">_xlfn.NORM.S.INV(RAND())</f>
        <v>1.93823937001926</v>
      </c>
      <c r="C35" s="18" t="n">
        <f aca="true">MIN(7,MAX(1,ROUND(4+$I$2*$B35+_xlfn.NORM.INV(RAND(),0,$I$1),0)))</f>
        <v>5</v>
      </c>
      <c r="D35" s="18" t="n">
        <f aca="true">MIN(7,MAX(1,ROUND(4+$I$2*$B35+_xlfn.NORM.INV(RAND(),0,$I$1),0)))</f>
        <v>7</v>
      </c>
      <c r="E35" s="18" t="n">
        <f aca="true">MIN(7,MAX(1,ROUND(4+$I$2*$B35+_xlfn.NORM.INV(RAND(),0,$I$1),0)))</f>
        <v>6</v>
      </c>
      <c r="F35" s="18" t="n">
        <f aca="true">MIN(7,MAX(1,ROUND(4-$I$2*$B35+_xlfn.NORM.INV(RAND(),0,$I$1),0)))</f>
        <v>2</v>
      </c>
    </row>
    <row r="36" customFormat="false" ht="15" hidden="false" customHeight="false" outlineLevel="0" collapsed="false">
      <c r="A36" s="0" t="n">
        <v>35</v>
      </c>
      <c r="B36" s="17" t="n">
        <f aca="true">_xlfn.NORM.S.INV(RAND())</f>
        <v>-0.290383883983312</v>
      </c>
      <c r="C36" s="18" t="n">
        <f aca="true">MIN(7,MAX(1,ROUND(4+$I$2*$B36+_xlfn.NORM.INV(RAND(),0,$I$1),0)))</f>
        <v>3</v>
      </c>
      <c r="D36" s="18" t="n">
        <f aca="true">MIN(7,MAX(1,ROUND(4+$I$2*$B36+_xlfn.NORM.INV(RAND(),0,$I$1),0)))</f>
        <v>4</v>
      </c>
      <c r="E36" s="18" t="n">
        <f aca="true">MIN(7,MAX(1,ROUND(4+$I$2*$B36+_xlfn.NORM.INV(RAND(),0,$I$1),0)))</f>
        <v>6</v>
      </c>
      <c r="F36" s="18" t="n">
        <f aca="true">MIN(7,MAX(1,ROUND(4-$I$2*$B36+_xlfn.NORM.INV(RAND(),0,$I$1),0)))</f>
        <v>4</v>
      </c>
    </row>
    <row r="37" customFormat="false" ht="15" hidden="false" customHeight="false" outlineLevel="0" collapsed="false">
      <c r="A37" s="0" t="n">
        <v>36</v>
      </c>
      <c r="B37" s="17" t="n">
        <f aca="true">_xlfn.NORM.S.INV(RAND())</f>
        <v>0.167689013688556</v>
      </c>
      <c r="C37" s="18" t="n">
        <f aca="true">MIN(7,MAX(1,ROUND(4+$I$2*$B37+_xlfn.NORM.INV(RAND(),0,$I$1),0)))</f>
        <v>4</v>
      </c>
      <c r="D37" s="18" t="n">
        <f aca="true">MIN(7,MAX(1,ROUND(4+$I$2*$B37+_xlfn.NORM.INV(RAND(),0,$I$1),0)))</f>
        <v>3</v>
      </c>
      <c r="E37" s="18" t="n">
        <f aca="true">MIN(7,MAX(1,ROUND(4+$I$2*$B37+_xlfn.NORM.INV(RAND(),0,$I$1),0)))</f>
        <v>4</v>
      </c>
      <c r="F37" s="18" t="n">
        <f aca="true">MIN(7,MAX(1,ROUND(4-$I$2*$B37+_xlfn.NORM.INV(RAND(),0,$I$1),0)))</f>
        <v>4</v>
      </c>
    </row>
    <row r="38" customFormat="false" ht="15" hidden="false" customHeight="false" outlineLevel="0" collapsed="false">
      <c r="A38" s="0" t="n">
        <v>37</v>
      </c>
      <c r="B38" s="17" t="n">
        <f aca="true">_xlfn.NORM.S.INV(RAND())</f>
        <v>0.473482152305447</v>
      </c>
      <c r="C38" s="18" t="n">
        <f aca="true">MIN(7,MAX(1,ROUND(4+$I$2*$B38+_xlfn.NORM.INV(RAND(),0,$I$1),0)))</f>
        <v>5</v>
      </c>
      <c r="D38" s="18" t="n">
        <f aca="true">MIN(7,MAX(1,ROUND(4+$I$2*$B38+_xlfn.NORM.INV(RAND(),0,$I$1),0)))</f>
        <v>4</v>
      </c>
      <c r="E38" s="18" t="n">
        <f aca="true">MIN(7,MAX(1,ROUND(4+$I$2*$B38+_xlfn.NORM.INV(RAND(),0,$I$1),0)))</f>
        <v>5</v>
      </c>
      <c r="F38" s="18" t="n">
        <f aca="true">MIN(7,MAX(1,ROUND(4-$I$2*$B38+_xlfn.NORM.INV(RAND(),0,$I$1),0)))</f>
        <v>4</v>
      </c>
    </row>
    <row r="39" customFormat="false" ht="15" hidden="false" customHeight="false" outlineLevel="0" collapsed="false">
      <c r="A39" s="0" t="n">
        <v>38</v>
      </c>
      <c r="B39" s="17" t="n">
        <f aca="true">_xlfn.NORM.S.INV(RAND())</f>
        <v>-0.541378352621964</v>
      </c>
      <c r="C39" s="18" t="n">
        <f aca="true">MIN(7,MAX(1,ROUND(4+$I$2*$B39+_xlfn.NORM.INV(RAND(),0,$I$1),0)))</f>
        <v>4</v>
      </c>
      <c r="D39" s="18" t="n">
        <f aca="true">MIN(7,MAX(1,ROUND(4+$I$2*$B39+_xlfn.NORM.INV(RAND(),0,$I$1),0)))</f>
        <v>3</v>
      </c>
      <c r="E39" s="18" t="n">
        <f aca="true">MIN(7,MAX(1,ROUND(4+$I$2*$B39+_xlfn.NORM.INV(RAND(),0,$I$1),0)))</f>
        <v>2</v>
      </c>
      <c r="F39" s="18" t="n">
        <f aca="true">MIN(7,MAX(1,ROUND(4-$I$2*$B39+_xlfn.NORM.INV(RAND(),0,$I$1),0)))</f>
        <v>5</v>
      </c>
    </row>
    <row r="40" customFormat="false" ht="15" hidden="false" customHeight="false" outlineLevel="0" collapsed="false">
      <c r="A40" s="0" t="n">
        <v>39</v>
      </c>
      <c r="B40" s="17" t="n">
        <f aca="true">_xlfn.NORM.S.INV(RAND())</f>
        <v>0.676350655912074</v>
      </c>
      <c r="C40" s="18" t="n">
        <f aca="true">MIN(7,MAX(1,ROUND(4+$I$2*$B40+_xlfn.NORM.INV(RAND(),0,$I$1),0)))</f>
        <v>5</v>
      </c>
      <c r="D40" s="18" t="n">
        <f aca="true">MIN(7,MAX(1,ROUND(4+$I$2*$B40+_xlfn.NORM.INV(RAND(),0,$I$1),0)))</f>
        <v>5</v>
      </c>
      <c r="E40" s="18" t="n">
        <f aca="true">MIN(7,MAX(1,ROUND(4+$I$2*$B40+_xlfn.NORM.INV(RAND(),0,$I$1),0)))</f>
        <v>5</v>
      </c>
      <c r="F40" s="18" t="n">
        <f aca="true">MIN(7,MAX(1,ROUND(4-$I$2*$B40+_xlfn.NORM.INV(RAND(),0,$I$1),0)))</f>
        <v>4</v>
      </c>
    </row>
    <row r="41" customFormat="false" ht="15" hidden="false" customHeight="false" outlineLevel="0" collapsed="false">
      <c r="A41" s="0" t="n">
        <v>40</v>
      </c>
      <c r="B41" s="17" t="n">
        <f aca="true">_xlfn.NORM.S.INV(RAND())</f>
        <v>1.0505773749542</v>
      </c>
      <c r="C41" s="18" t="n">
        <f aca="true">MIN(7,MAX(1,ROUND(4+$I$2*$B41+_xlfn.NORM.INV(RAND(),0,$I$1),0)))</f>
        <v>4</v>
      </c>
      <c r="D41" s="18" t="n">
        <f aca="true">MIN(7,MAX(1,ROUND(4+$I$2*$B41+_xlfn.NORM.INV(RAND(),0,$I$1),0)))</f>
        <v>5</v>
      </c>
      <c r="E41" s="18" t="n">
        <f aca="true">MIN(7,MAX(1,ROUND(4+$I$2*$B41+_xlfn.NORM.INV(RAND(),0,$I$1),0)))</f>
        <v>6</v>
      </c>
      <c r="F41" s="18" t="n">
        <f aca="true">MIN(7,MAX(1,ROUND(4-$I$2*$B41+_xlfn.NORM.INV(RAND(),0,$I$1),0)))</f>
        <v>4</v>
      </c>
    </row>
    <row r="42" customFormat="false" ht="15" hidden="false" customHeight="false" outlineLevel="0" collapsed="false">
      <c r="A42" s="0" t="n">
        <v>41</v>
      </c>
      <c r="B42" s="17" t="n">
        <f aca="true">_xlfn.NORM.S.INV(RAND())</f>
        <v>1.25715141604726</v>
      </c>
      <c r="C42" s="18" t="n">
        <f aca="true">MIN(7,MAX(1,ROUND(4+$I$2*$B42+_xlfn.NORM.INV(RAND(),0,$I$1),0)))</f>
        <v>6</v>
      </c>
      <c r="D42" s="18" t="n">
        <f aca="true">MIN(7,MAX(1,ROUND(4+$I$2*$B42+_xlfn.NORM.INV(RAND(),0,$I$1),0)))</f>
        <v>6</v>
      </c>
      <c r="E42" s="18" t="n">
        <f aca="true">MIN(7,MAX(1,ROUND(4+$I$2*$B42+_xlfn.NORM.INV(RAND(),0,$I$1),0)))</f>
        <v>5</v>
      </c>
      <c r="F42" s="18" t="n">
        <f aca="true">MIN(7,MAX(1,ROUND(4-$I$2*$B42+_xlfn.NORM.INV(RAND(),0,$I$1),0)))</f>
        <v>4</v>
      </c>
    </row>
    <row r="43" customFormat="false" ht="15" hidden="false" customHeight="false" outlineLevel="0" collapsed="false">
      <c r="A43" s="0" t="n">
        <v>42</v>
      </c>
      <c r="B43" s="17" t="n">
        <f aca="true">_xlfn.NORM.S.INV(RAND())</f>
        <v>-0.17838769582965</v>
      </c>
      <c r="C43" s="18" t="n">
        <f aca="true">MIN(7,MAX(1,ROUND(4+$I$2*$B43+_xlfn.NORM.INV(RAND(),0,$I$1),0)))</f>
        <v>4</v>
      </c>
      <c r="D43" s="18" t="n">
        <f aca="true">MIN(7,MAX(1,ROUND(4+$I$2*$B43+_xlfn.NORM.INV(RAND(),0,$I$1),0)))</f>
        <v>2</v>
      </c>
      <c r="E43" s="18" t="n">
        <f aca="true">MIN(7,MAX(1,ROUND(4+$I$2*$B43+_xlfn.NORM.INV(RAND(),0,$I$1),0)))</f>
        <v>3</v>
      </c>
      <c r="F43" s="18" t="n">
        <f aca="true">MIN(7,MAX(1,ROUND(4-$I$2*$B43+_xlfn.NORM.INV(RAND(),0,$I$1),0)))</f>
        <v>5</v>
      </c>
    </row>
    <row r="44" customFormat="false" ht="15" hidden="false" customHeight="false" outlineLevel="0" collapsed="false">
      <c r="A44" s="0" t="n">
        <v>43</v>
      </c>
      <c r="B44" s="17" t="n">
        <f aca="true">_xlfn.NORM.S.INV(RAND())</f>
        <v>1.22195804496353</v>
      </c>
      <c r="C44" s="18" t="n">
        <f aca="true">MIN(7,MAX(1,ROUND(4+$I$2*$B44+_xlfn.NORM.INV(RAND(),0,$I$1),0)))</f>
        <v>5</v>
      </c>
      <c r="D44" s="18" t="n">
        <f aca="true">MIN(7,MAX(1,ROUND(4+$I$2*$B44+_xlfn.NORM.INV(RAND(),0,$I$1),0)))</f>
        <v>5</v>
      </c>
      <c r="E44" s="18" t="n">
        <f aca="true">MIN(7,MAX(1,ROUND(4+$I$2*$B44+_xlfn.NORM.INV(RAND(),0,$I$1),0)))</f>
        <v>5</v>
      </c>
      <c r="F44" s="18" t="n">
        <f aca="true">MIN(7,MAX(1,ROUND(4-$I$2*$B44+_xlfn.NORM.INV(RAND(),0,$I$1),0)))</f>
        <v>2</v>
      </c>
    </row>
    <row r="45" customFormat="false" ht="15" hidden="false" customHeight="false" outlineLevel="0" collapsed="false">
      <c r="A45" s="0" t="n">
        <v>44</v>
      </c>
      <c r="B45" s="17" t="n">
        <f aca="true">_xlfn.NORM.S.INV(RAND())</f>
        <v>0.749436156837149</v>
      </c>
      <c r="C45" s="18" t="n">
        <f aca="true">MIN(7,MAX(1,ROUND(4+$I$2*$B45+_xlfn.NORM.INV(RAND(),0,$I$1),0)))</f>
        <v>4</v>
      </c>
      <c r="D45" s="18" t="n">
        <f aca="true">MIN(7,MAX(1,ROUND(4+$I$2*$B45+_xlfn.NORM.INV(RAND(),0,$I$1),0)))</f>
        <v>5</v>
      </c>
      <c r="E45" s="18" t="n">
        <f aca="true">MIN(7,MAX(1,ROUND(4+$I$2*$B45+_xlfn.NORM.INV(RAND(),0,$I$1),0)))</f>
        <v>4</v>
      </c>
      <c r="F45" s="18" t="n">
        <f aca="true">MIN(7,MAX(1,ROUND(4-$I$2*$B45+_xlfn.NORM.INV(RAND(),0,$I$1),0)))</f>
        <v>4</v>
      </c>
    </row>
    <row r="46" customFormat="false" ht="15" hidden="false" customHeight="false" outlineLevel="0" collapsed="false">
      <c r="A46" s="0" t="n">
        <v>45</v>
      </c>
      <c r="B46" s="17" t="n">
        <f aca="true">_xlfn.NORM.S.INV(RAND())</f>
        <v>1.36122488508879</v>
      </c>
      <c r="C46" s="18" t="n">
        <f aca="true">MIN(7,MAX(1,ROUND(4+$I$2*$B46+_xlfn.NORM.INV(RAND(),0,$I$1),0)))</f>
        <v>6</v>
      </c>
      <c r="D46" s="18" t="n">
        <f aca="true">MIN(7,MAX(1,ROUND(4+$I$2*$B46+_xlfn.NORM.INV(RAND(),0,$I$1),0)))</f>
        <v>4</v>
      </c>
      <c r="E46" s="18" t="n">
        <f aca="true">MIN(7,MAX(1,ROUND(4+$I$2*$B46+_xlfn.NORM.INV(RAND(),0,$I$1),0)))</f>
        <v>5</v>
      </c>
      <c r="F46" s="18" t="n">
        <f aca="true">MIN(7,MAX(1,ROUND(4-$I$2*$B46+_xlfn.NORM.INV(RAND(),0,$I$1),0)))</f>
        <v>4</v>
      </c>
    </row>
    <row r="47" customFormat="false" ht="15" hidden="false" customHeight="false" outlineLevel="0" collapsed="false">
      <c r="A47" s="0" t="n">
        <v>46</v>
      </c>
      <c r="B47" s="17" t="n">
        <f aca="true">_xlfn.NORM.S.INV(RAND())</f>
        <v>-0.176709166160446</v>
      </c>
      <c r="C47" s="18" t="n">
        <f aca="true">MIN(7,MAX(1,ROUND(4+$I$2*$B47+_xlfn.NORM.INV(RAND(),0,$I$1),0)))</f>
        <v>4</v>
      </c>
      <c r="D47" s="18" t="n">
        <f aca="true">MIN(7,MAX(1,ROUND(4+$I$2*$B47+_xlfn.NORM.INV(RAND(),0,$I$1),0)))</f>
        <v>6</v>
      </c>
      <c r="E47" s="18" t="n">
        <f aca="true">MIN(7,MAX(1,ROUND(4+$I$2*$B47+_xlfn.NORM.INV(RAND(),0,$I$1),0)))</f>
        <v>5</v>
      </c>
      <c r="F47" s="18" t="n">
        <f aca="true">MIN(7,MAX(1,ROUND(4-$I$2*$B47+_xlfn.NORM.INV(RAND(),0,$I$1),0)))</f>
        <v>4</v>
      </c>
    </row>
    <row r="48" customFormat="false" ht="15" hidden="false" customHeight="false" outlineLevel="0" collapsed="false">
      <c r="A48" s="0" t="n">
        <v>47</v>
      </c>
      <c r="B48" s="17" t="n">
        <f aca="true">_xlfn.NORM.S.INV(RAND())</f>
        <v>0.636449301385033</v>
      </c>
      <c r="C48" s="18" t="n">
        <f aca="true">MIN(7,MAX(1,ROUND(4+$I$2*$B48+_xlfn.NORM.INV(RAND(),0,$I$1),0)))</f>
        <v>6</v>
      </c>
      <c r="D48" s="18" t="n">
        <f aca="true">MIN(7,MAX(1,ROUND(4+$I$2*$B48+_xlfn.NORM.INV(RAND(),0,$I$1),0)))</f>
        <v>7</v>
      </c>
      <c r="E48" s="18" t="n">
        <f aca="true">MIN(7,MAX(1,ROUND(4+$I$2*$B48+_xlfn.NORM.INV(RAND(),0,$I$1),0)))</f>
        <v>4</v>
      </c>
      <c r="F48" s="18" t="n">
        <f aca="true">MIN(7,MAX(1,ROUND(4-$I$2*$B48+_xlfn.NORM.INV(RAND(),0,$I$1),0)))</f>
        <v>1</v>
      </c>
    </row>
    <row r="49" customFormat="false" ht="15" hidden="false" customHeight="false" outlineLevel="0" collapsed="false">
      <c r="A49" s="0" t="n">
        <v>48</v>
      </c>
      <c r="B49" s="17" t="n">
        <f aca="true">_xlfn.NORM.S.INV(RAND())</f>
        <v>-1.29791865254385</v>
      </c>
      <c r="C49" s="18" t="n">
        <f aca="true">MIN(7,MAX(1,ROUND(4+$I$2*$B49+_xlfn.NORM.INV(RAND(),0,$I$1),0)))</f>
        <v>2</v>
      </c>
      <c r="D49" s="18" t="n">
        <f aca="true">MIN(7,MAX(1,ROUND(4+$I$2*$B49+_xlfn.NORM.INV(RAND(),0,$I$1),0)))</f>
        <v>3</v>
      </c>
      <c r="E49" s="18" t="n">
        <f aca="true">MIN(7,MAX(1,ROUND(4+$I$2*$B49+_xlfn.NORM.INV(RAND(),0,$I$1),0)))</f>
        <v>1</v>
      </c>
      <c r="F49" s="18" t="n">
        <f aca="true">MIN(7,MAX(1,ROUND(4-$I$2*$B49+_xlfn.NORM.INV(RAND(),0,$I$1),0)))</f>
        <v>6</v>
      </c>
    </row>
    <row r="50" customFormat="false" ht="15" hidden="false" customHeight="false" outlineLevel="0" collapsed="false">
      <c r="A50" s="0" t="n">
        <v>49</v>
      </c>
      <c r="B50" s="17" t="n">
        <f aca="true">_xlfn.NORM.S.INV(RAND())</f>
        <v>-0.0517766455172977</v>
      </c>
      <c r="C50" s="18" t="n">
        <f aca="true">MIN(7,MAX(1,ROUND(4+$I$2*$B50+_xlfn.NORM.INV(RAND(),0,$I$1),0)))</f>
        <v>4</v>
      </c>
      <c r="D50" s="18" t="n">
        <f aca="true">MIN(7,MAX(1,ROUND(4+$I$2*$B50+_xlfn.NORM.INV(RAND(),0,$I$1),0)))</f>
        <v>4</v>
      </c>
      <c r="E50" s="18" t="n">
        <f aca="true">MIN(7,MAX(1,ROUND(4+$I$2*$B50+_xlfn.NORM.INV(RAND(),0,$I$1),0)))</f>
        <v>4</v>
      </c>
      <c r="F50" s="18" t="n">
        <f aca="true">MIN(7,MAX(1,ROUND(4-$I$2*$B50+_xlfn.NORM.INV(RAND(),0,$I$1),0)))</f>
        <v>3</v>
      </c>
    </row>
    <row r="51" customFormat="false" ht="15" hidden="false" customHeight="false" outlineLevel="0" collapsed="false">
      <c r="A51" s="0" t="n">
        <v>50</v>
      </c>
      <c r="B51" s="17" t="n">
        <f aca="true">_xlfn.NORM.S.INV(RAND())</f>
        <v>0.203591247639121</v>
      </c>
      <c r="C51" s="18" t="n">
        <f aca="true">MIN(7,MAX(1,ROUND(4+$I$2*$B51+_xlfn.NORM.INV(RAND(),0,$I$1),0)))</f>
        <v>4</v>
      </c>
      <c r="D51" s="18" t="n">
        <f aca="true">MIN(7,MAX(1,ROUND(4+$I$2*$B51+_xlfn.NORM.INV(RAND(),0,$I$1),0)))</f>
        <v>4</v>
      </c>
      <c r="E51" s="18" t="n">
        <f aca="true">MIN(7,MAX(1,ROUND(4+$I$2*$B51+_xlfn.NORM.INV(RAND(),0,$I$1),0)))</f>
        <v>4</v>
      </c>
      <c r="F51" s="18" t="n">
        <f aca="true">MIN(7,MAX(1,ROUND(4-$I$2*$B51+_xlfn.NORM.INV(RAND(),0,$I$1),0)))</f>
        <v>2</v>
      </c>
    </row>
    <row r="52" customFormat="false" ht="15" hidden="false" customHeight="false" outlineLevel="0" collapsed="false">
      <c r="A52" s="0" t="n">
        <v>51</v>
      </c>
      <c r="B52" s="17" t="n">
        <f aca="true">_xlfn.NORM.S.INV(RAND())</f>
        <v>0.543981241227402</v>
      </c>
      <c r="C52" s="18" t="n">
        <f aca="true">MIN(7,MAX(1,ROUND(4+$I$2*$B52+_xlfn.NORM.INV(RAND(),0,$I$1),0)))</f>
        <v>3</v>
      </c>
      <c r="D52" s="18" t="n">
        <f aca="true">MIN(7,MAX(1,ROUND(4+$I$2*$B52+_xlfn.NORM.INV(RAND(),0,$I$1),0)))</f>
        <v>4</v>
      </c>
      <c r="E52" s="18" t="n">
        <f aca="true">MIN(7,MAX(1,ROUND(4+$I$2*$B52+_xlfn.NORM.INV(RAND(),0,$I$1),0)))</f>
        <v>5</v>
      </c>
      <c r="F52" s="18" t="n">
        <f aca="true">MIN(7,MAX(1,ROUND(4-$I$2*$B52+_xlfn.NORM.INV(RAND(),0,$I$1),0)))</f>
        <v>4</v>
      </c>
    </row>
    <row r="53" customFormat="false" ht="15" hidden="false" customHeight="false" outlineLevel="0" collapsed="false">
      <c r="A53" s="0" t="n">
        <v>52</v>
      </c>
      <c r="B53" s="17" t="n">
        <f aca="true">_xlfn.NORM.S.INV(RAND())</f>
        <v>0.853253514237481</v>
      </c>
      <c r="C53" s="18" t="n">
        <f aca="true">MIN(7,MAX(1,ROUND(4+$I$2*$B53+_xlfn.NORM.INV(RAND(),0,$I$1),0)))</f>
        <v>6</v>
      </c>
      <c r="D53" s="18" t="n">
        <f aca="true">MIN(7,MAX(1,ROUND(4+$I$2*$B53+_xlfn.NORM.INV(RAND(),0,$I$1),0)))</f>
        <v>3</v>
      </c>
      <c r="E53" s="18" t="n">
        <f aca="true">MIN(7,MAX(1,ROUND(4+$I$2*$B53+_xlfn.NORM.INV(RAND(),0,$I$1),0)))</f>
        <v>5</v>
      </c>
      <c r="F53" s="18" t="n">
        <f aca="true">MIN(7,MAX(1,ROUND(4-$I$2*$B53+_xlfn.NORM.INV(RAND(),0,$I$1),0)))</f>
        <v>4</v>
      </c>
    </row>
    <row r="54" customFormat="false" ht="15" hidden="false" customHeight="false" outlineLevel="0" collapsed="false">
      <c r="A54" s="0" t="n">
        <v>53</v>
      </c>
      <c r="B54" s="17" t="n">
        <f aca="true">_xlfn.NORM.S.INV(RAND())</f>
        <v>0.678957527650071</v>
      </c>
      <c r="C54" s="18" t="n">
        <f aca="true">MIN(7,MAX(1,ROUND(4+$I$2*$B54+_xlfn.NORM.INV(RAND(),0,$I$1),0)))</f>
        <v>4</v>
      </c>
      <c r="D54" s="18" t="n">
        <f aca="true">MIN(7,MAX(1,ROUND(4+$I$2*$B54+_xlfn.NORM.INV(RAND(),0,$I$1),0)))</f>
        <v>5</v>
      </c>
      <c r="E54" s="18" t="n">
        <f aca="true">MIN(7,MAX(1,ROUND(4+$I$2*$B54+_xlfn.NORM.INV(RAND(),0,$I$1),0)))</f>
        <v>6</v>
      </c>
      <c r="F54" s="18" t="n">
        <f aca="true">MIN(7,MAX(1,ROUND(4-$I$2*$B54+_xlfn.NORM.INV(RAND(),0,$I$1),0)))</f>
        <v>3</v>
      </c>
    </row>
    <row r="55" customFormat="false" ht="15" hidden="false" customHeight="false" outlineLevel="0" collapsed="false">
      <c r="A55" s="0" t="n">
        <v>54</v>
      </c>
      <c r="B55" s="17" t="n">
        <f aca="true">_xlfn.NORM.S.INV(RAND())</f>
        <v>-1.13883609299742</v>
      </c>
      <c r="C55" s="18" t="n">
        <f aca="true">MIN(7,MAX(1,ROUND(4+$I$2*$B55+_xlfn.NORM.INV(RAND(),0,$I$1),0)))</f>
        <v>1</v>
      </c>
      <c r="D55" s="18" t="n">
        <f aca="true">MIN(7,MAX(1,ROUND(4+$I$2*$B55+_xlfn.NORM.INV(RAND(),0,$I$1),0)))</f>
        <v>3</v>
      </c>
      <c r="E55" s="18" t="n">
        <f aca="true">MIN(7,MAX(1,ROUND(4+$I$2*$B55+_xlfn.NORM.INV(RAND(),0,$I$1),0)))</f>
        <v>3</v>
      </c>
      <c r="F55" s="18" t="n">
        <f aca="true">MIN(7,MAX(1,ROUND(4-$I$2*$B55+_xlfn.NORM.INV(RAND(),0,$I$1),0)))</f>
        <v>5</v>
      </c>
    </row>
    <row r="56" customFormat="false" ht="15" hidden="false" customHeight="false" outlineLevel="0" collapsed="false">
      <c r="A56" s="0" t="n">
        <v>55</v>
      </c>
      <c r="B56" s="17" t="n">
        <f aca="true">_xlfn.NORM.S.INV(RAND())</f>
        <v>-2.10772615059581</v>
      </c>
      <c r="C56" s="18" t="n">
        <f aca="true">MIN(7,MAX(1,ROUND(4+$I$2*$B56+_xlfn.NORM.INV(RAND(),0,$I$1),0)))</f>
        <v>3</v>
      </c>
      <c r="D56" s="18" t="n">
        <f aca="true">MIN(7,MAX(1,ROUND(4+$I$2*$B56+_xlfn.NORM.INV(RAND(),0,$I$1),0)))</f>
        <v>2</v>
      </c>
      <c r="E56" s="18" t="n">
        <f aca="true">MIN(7,MAX(1,ROUND(4+$I$2*$B56+_xlfn.NORM.INV(RAND(),0,$I$1),0)))</f>
        <v>3</v>
      </c>
      <c r="F56" s="18" t="n">
        <f aca="true">MIN(7,MAX(1,ROUND(4-$I$2*$B56+_xlfn.NORM.INV(RAND(),0,$I$1),0)))</f>
        <v>7</v>
      </c>
    </row>
    <row r="57" customFormat="false" ht="15" hidden="false" customHeight="false" outlineLevel="0" collapsed="false">
      <c r="A57" s="0" t="n">
        <v>56</v>
      </c>
      <c r="B57" s="17" t="n">
        <f aca="true">_xlfn.NORM.S.INV(RAND())</f>
        <v>-0.206426092234982</v>
      </c>
      <c r="C57" s="18" t="n">
        <f aca="true">MIN(7,MAX(1,ROUND(4+$I$2*$B57+_xlfn.NORM.INV(RAND(),0,$I$1),0)))</f>
        <v>4</v>
      </c>
      <c r="D57" s="18" t="n">
        <f aca="true">MIN(7,MAX(1,ROUND(4+$I$2*$B57+_xlfn.NORM.INV(RAND(),0,$I$1),0)))</f>
        <v>1</v>
      </c>
      <c r="E57" s="18" t="n">
        <f aca="true">MIN(7,MAX(1,ROUND(4+$I$2*$B57+_xlfn.NORM.INV(RAND(),0,$I$1),0)))</f>
        <v>5</v>
      </c>
      <c r="F57" s="18" t="n">
        <f aca="true">MIN(7,MAX(1,ROUND(4-$I$2*$B57+_xlfn.NORM.INV(RAND(),0,$I$1),0)))</f>
        <v>4</v>
      </c>
    </row>
    <row r="58" customFormat="false" ht="15" hidden="false" customHeight="false" outlineLevel="0" collapsed="false">
      <c r="A58" s="0" t="n">
        <v>57</v>
      </c>
      <c r="B58" s="17" t="n">
        <f aca="true">_xlfn.NORM.S.INV(RAND())</f>
        <v>0.0122912106662168</v>
      </c>
      <c r="C58" s="18" t="n">
        <f aca="true">MIN(7,MAX(1,ROUND(4+$I$2*$B58+_xlfn.NORM.INV(RAND(),0,$I$1),0)))</f>
        <v>5</v>
      </c>
      <c r="D58" s="18" t="n">
        <f aca="true">MIN(7,MAX(1,ROUND(4+$I$2*$B58+_xlfn.NORM.INV(RAND(),0,$I$1),0)))</f>
        <v>5</v>
      </c>
      <c r="E58" s="18" t="n">
        <f aca="true">MIN(7,MAX(1,ROUND(4+$I$2*$B58+_xlfn.NORM.INV(RAND(),0,$I$1),0)))</f>
        <v>3</v>
      </c>
      <c r="F58" s="18" t="n">
        <f aca="true">MIN(7,MAX(1,ROUND(4-$I$2*$B58+_xlfn.NORM.INV(RAND(),0,$I$1),0)))</f>
        <v>3</v>
      </c>
    </row>
    <row r="59" customFormat="false" ht="15" hidden="false" customHeight="false" outlineLevel="0" collapsed="false">
      <c r="A59" s="0" t="n">
        <v>58</v>
      </c>
      <c r="B59" s="17" t="n">
        <f aca="true">_xlfn.NORM.S.INV(RAND())</f>
        <v>-0.740938895591502</v>
      </c>
      <c r="C59" s="18" t="n">
        <f aca="true">MIN(7,MAX(1,ROUND(4+$I$2*$B59+_xlfn.NORM.INV(RAND(),0,$I$1),0)))</f>
        <v>2</v>
      </c>
      <c r="D59" s="18" t="n">
        <f aca="true">MIN(7,MAX(1,ROUND(4+$I$2*$B59+_xlfn.NORM.INV(RAND(),0,$I$1),0)))</f>
        <v>3</v>
      </c>
      <c r="E59" s="18" t="n">
        <f aca="true">MIN(7,MAX(1,ROUND(4+$I$2*$B59+_xlfn.NORM.INV(RAND(),0,$I$1),0)))</f>
        <v>3</v>
      </c>
      <c r="F59" s="18" t="n">
        <f aca="true">MIN(7,MAX(1,ROUND(4-$I$2*$B59+_xlfn.NORM.INV(RAND(),0,$I$1),0)))</f>
        <v>6</v>
      </c>
    </row>
    <row r="60" customFormat="false" ht="15" hidden="false" customHeight="false" outlineLevel="0" collapsed="false">
      <c r="A60" s="0" t="n">
        <v>59</v>
      </c>
      <c r="B60" s="17" t="n">
        <f aca="true">_xlfn.NORM.S.INV(RAND())</f>
        <v>0.632111754352815</v>
      </c>
      <c r="C60" s="18" t="n">
        <f aca="true">MIN(7,MAX(1,ROUND(4+$I$2*$B60+_xlfn.NORM.INV(RAND(),0,$I$1),0)))</f>
        <v>4</v>
      </c>
      <c r="D60" s="18" t="n">
        <f aca="true">MIN(7,MAX(1,ROUND(4+$I$2*$B60+_xlfn.NORM.INV(RAND(),0,$I$1),0)))</f>
        <v>4</v>
      </c>
      <c r="E60" s="18" t="n">
        <f aca="true">MIN(7,MAX(1,ROUND(4+$I$2*$B60+_xlfn.NORM.INV(RAND(),0,$I$1),0)))</f>
        <v>4</v>
      </c>
      <c r="F60" s="18" t="n">
        <f aca="true">MIN(7,MAX(1,ROUND(4-$I$2*$B60+_xlfn.NORM.INV(RAND(),0,$I$1),0)))</f>
        <v>2</v>
      </c>
    </row>
    <row r="61" customFormat="false" ht="15" hidden="false" customHeight="false" outlineLevel="0" collapsed="false">
      <c r="A61" s="0" t="n">
        <v>60</v>
      </c>
      <c r="B61" s="17" t="n">
        <f aca="true">_xlfn.NORM.S.INV(RAND())</f>
        <v>1.66713593070722</v>
      </c>
      <c r="C61" s="18" t="n">
        <f aca="true">MIN(7,MAX(1,ROUND(4+$I$2*$B61+_xlfn.NORM.INV(RAND(),0,$I$1),0)))</f>
        <v>5</v>
      </c>
      <c r="D61" s="18" t="n">
        <f aca="true">MIN(7,MAX(1,ROUND(4+$I$2*$B61+_xlfn.NORM.INV(RAND(),0,$I$1),0)))</f>
        <v>6</v>
      </c>
      <c r="E61" s="18" t="n">
        <f aca="true">MIN(7,MAX(1,ROUND(4+$I$2*$B61+_xlfn.NORM.INV(RAND(),0,$I$1),0)))</f>
        <v>7</v>
      </c>
      <c r="F61" s="18" t="n">
        <f aca="true">MIN(7,MAX(1,ROUND(4-$I$2*$B61+_xlfn.NORM.INV(RAND(),0,$I$1),0)))</f>
        <v>3</v>
      </c>
    </row>
    <row r="62" customFormat="false" ht="15" hidden="false" customHeight="false" outlineLevel="0" collapsed="false">
      <c r="A62" s="0" t="n">
        <v>61</v>
      </c>
      <c r="B62" s="17" t="n">
        <f aca="true">_xlfn.NORM.S.INV(RAND())</f>
        <v>-0.819296208274986</v>
      </c>
      <c r="C62" s="18" t="n">
        <f aca="true">MIN(7,MAX(1,ROUND(4+$I$2*$B62+_xlfn.NORM.INV(RAND(),0,$I$1),0)))</f>
        <v>3</v>
      </c>
      <c r="D62" s="18" t="n">
        <f aca="true">MIN(7,MAX(1,ROUND(4+$I$2*$B62+_xlfn.NORM.INV(RAND(),0,$I$1),0)))</f>
        <v>3</v>
      </c>
      <c r="E62" s="18" t="n">
        <f aca="true">MIN(7,MAX(1,ROUND(4+$I$2*$B62+_xlfn.NORM.INV(RAND(),0,$I$1),0)))</f>
        <v>3</v>
      </c>
      <c r="F62" s="18" t="n">
        <f aca="true">MIN(7,MAX(1,ROUND(4-$I$2*$B62+_xlfn.NORM.INV(RAND(),0,$I$1),0)))</f>
        <v>4</v>
      </c>
    </row>
    <row r="63" customFormat="false" ht="15" hidden="false" customHeight="false" outlineLevel="0" collapsed="false">
      <c r="A63" s="0" t="n">
        <v>62</v>
      </c>
      <c r="B63" s="17" t="n">
        <f aca="true">_xlfn.NORM.S.INV(RAND())</f>
        <v>-0.0473970016127514</v>
      </c>
      <c r="C63" s="18" t="n">
        <f aca="true">MIN(7,MAX(1,ROUND(4+$I$2*$B63+_xlfn.NORM.INV(RAND(),0,$I$1),0)))</f>
        <v>5</v>
      </c>
      <c r="D63" s="18" t="n">
        <f aca="true">MIN(7,MAX(1,ROUND(4+$I$2*$B63+_xlfn.NORM.INV(RAND(),0,$I$1),0)))</f>
        <v>5</v>
      </c>
      <c r="E63" s="18" t="n">
        <f aca="true">MIN(7,MAX(1,ROUND(4+$I$2*$B63+_xlfn.NORM.INV(RAND(),0,$I$1),0)))</f>
        <v>4</v>
      </c>
      <c r="F63" s="18" t="n">
        <f aca="true">MIN(7,MAX(1,ROUND(4-$I$2*$B63+_xlfn.NORM.INV(RAND(),0,$I$1),0)))</f>
        <v>4</v>
      </c>
    </row>
    <row r="64" customFormat="false" ht="15" hidden="false" customHeight="false" outlineLevel="0" collapsed="false">
      <c r="A64" s="0" t="n">
        <v>63</v>
      </c>
      <c r="B64" s="17" t="n">
        <f aca="true">_xlfn.NORM.S.INV(RAND())</f>
        <v>0.213701300111826</v>
      </c>
      <c r="C64" s="18" t="n">
        <f aca="true">MIN(7,MAX(1,ROUND(4+$I$2*$B64+_xlfn.NORM.INV(RAND(),0,$I$1),0)))</f>
        <v>6</v>
      </c>
      <c r="D64" s="18" t="n">
        <f aca="true">MIN(7,MAX(1,ROUND(4+$I$2*$B64+_xlfn.NORM.INV(RAND(),0,$I$1),0)))</f>
        <v>4</v>
      </c>
      <c r="E64" s="18" t="n">
        <f aca="true">MIN(7,MAX(1,ROUND(4+$I$2*$B64+_xlfn.NORM.INV(RAND(),0,$I$1),0)))</f>
        <v>4</v>
      </c>
      <c r="F64" s="18" t="n">
        <f aca="true">MIN(7,MAX(1,ROUND(4-$I$2*$B64+_xlfn.NORM.INV(RAND(),0,$I$1),0)))</f>
        <v>3</v>
      </c>
    </row>
    <row r="65" customFormat="false" ht="15" hidden="false" customHeight="false" outlineLevel="0" collapsed="false">
      <c r="A65" s="0" t="n">
        <v>64</v>
      </c>
      <c r="B65" s="17" t="n">
        <f aca="true">_xlfn.NORM.S.INV(RAND())</f>
        <v>1.46483489796588</v>
      </c>
      <c r="C65" s="18" t="n">
        <f aca="true">MIN(7,MAX(1,ROUND(4+$I$2*$B65+_xlfn.NORM.INV(RAND(),0,$I$1),0)))</f>
        <v>7</v>
      </c>
      <c r="D65" s="18" t="n">
        <f aca="true">MIN(7,MAX(1,ROUND(4+$I$2*$B65+_xlfn.NORM.INV(RAND(),0,$I$1),0)))</f>
        <v>6</v>
      </c>
      <c r="E65" s="18" t="n">
        <f aca="true">MIN(7,MAX(1,ROUND(4+$I$2*$B65+_xlfn.NORM.INV(RAND(),0,$I$1),0)))</f>
        <v>4</v>
      </c>
      <c r="F65" s="18" t="n">
        <f aca="true">MIN(7,MAX(1,ROUND(4-$I$2*$B65+_xlfn.NORM.INV(RAND(),0,$I$1),0)))</f>
        <v>3</v>
      </c>
    </row>
    <row r="66" customFormat="false" ht="15" hidden="false" customHeight="false" outlineLevel="0" collapsed="false">
      <c r="A66" s="0" t="n">
        <v>65</v>
      </c>
      <c r="B66" s="17" t="n">
        <f aca="true">_xlfn.NORM.S.INV(RAND())</f>
        <v>-0.470397198637504</v>
      </c>
      <c r="C66" s="18" t="n">
        <f aca="true">MIN(7,MAX(1,ROUND(4+$I$2*$B66+_xlfn.NORM.INV(RAND(),0,$I$1),0)))</f>
        <v>3</v>
      </c>
      <c r="D66" s="18" t="n">
        <f aca="true">MIN(7,MAX(1,ROUND(4+$I$2*$B66+_xlfn.NORM.INV(RAND(),0,$I$1),0)))</f>
        <v>4</v>
      </c>
      <c r="E66" s="18" t="n">
        <f aca="true">MIN(7,MAX(1,ROUND(4+$I$2*$B66+_xlfn.NORM.INV(RAND(),0,$I$1),0)))</f>
        <v>4</v>
      </c>
      <c r="F66" s="18" t="n">
        <f aca="true">MIN(7,MAX(1,ROUND(4-$I$2*$B66+_xlfn.NORM.INV(RAND(),0,$I$1),0)))</f>
        <v>5</v>
      </c>
    </row>
    <row r="67" customFormat="false" ht="15" hidden="false" customHeight="false" outlineLevel="0" collapsed="false">
      <c r="A67" s="0" t="n">
        <v>66</v>
      </c>
      <c r="B67" s="17" t="n">
        <f aca="true">_xlfn.NORM.S.INV(RAND())</f>
        <v>-0.521385928056165</v>
      </c>
      <c r="C67" s="18" t="n">
        <f aca="true">MIN(7,MAX(1,ROUND(4+$I$2*$B67+_xlfn.NORM.INV(RAND(),0,$I$1),0)))</f>
        <v>4</v>
      </c>
      <c r="D67" s="18" t="n">
        <f aca="true">MIN(7,MAX(1,ROUND(4+$I$2*$B67+_xlfn.NORM.INV(RAND(),0,$I$1),0)))</f>
        <v>5</v>
      </c>
      <c r="E67" s="18" t="n">
        <f aca="true">MIN(7,MAX(1,ROUND(4+$I$2*$B67+_xlfn.NORM.INV(RAND(),0,$I$1),0)))</f>
        <v>3</v>
      </c>
      <c r="F67" s="18" t="n">
        <f aca="true">MIN(7,MAX(1,ROUND(4-$I$2*$B67+_xlfn.NORM.INV(RAND(),0,$I$1),0)))</f>
        <v>6</v>
      </c>
    </row>
    <row r="68" customFormat="false" ht="15" hidden="false" customHeight="false" outlineLevel="0" collapsed="false">
      <c r="A68" s="0" t="n">
        <v>67</v>
      </c>
      <c r="B68" s="17" t="n">
        <f aca="true">_xlfn.NORM.S.INV(RAND())</f>
        <v>1.69577413135221</v>
      </c>
      <c r="C68" s="18" t="n">
        <f aca="true">MIN(7,MAX(1,ROUND(4+$I$2*$B68+_xlfn.NORM.INV(RAND(),0,$I$1),0)))</f>
        <v>4</v>
      </c>
      <c r="D68" s="18" t="n">
        <f aca="true">MIN(7,MAX(1,ROUND(4+$I$2*$B68+_xlfn.NORM.INV(RAND(),0,$I$1),0)))</f>
        <v>7</v>
      </c>
      <c r="E68" s="18" t="n">
        <f aca="true">MIN(7,MAX(1,ROUND(4+$I$2*$B68+_xlfn.NORM.INV(RAND(),0,$I$1),0)))</f>
        <v>7</v>
      </c>
      <c r="F68" s="18" t="n">
        <f aca="true">MIN(7,MAX(1,ROUND(4-$I$2*$B68+_xlfn.NORM.INV(RAND(),0,$I$1),0)))</f>
        <v>1</v>
      </c>
    </row>
    <row r="69" customFormat="false" ht="15" hidden="false" customHeight="false" outlineLevel="0" collapsed="false">
      <c r="A69" s="0" t="n">
        <v>68</v>
      </c>
      <c r="B69" s="17" t="n">
        <f aca="true">_xlfn.NORM.S.INV(RAND())</f>
        <v>-2.06621929200558</v>
      </c>
      <c r="C69" s="18" t="n">
        <f aca="true">MIN(7,MAX(1,ROUND(4+$I$2*$B69+_xlfn.NORM.INV(RAND(),0,$I$1),0)))</f>
        <v>1</v>
      </c>
      <c r="D69" s="18" t="n">
        <f aca="true">MIN(7,MAX(1,ROUND(4+$I$2*$B69+_xlfn.NORM.INV(RAND(),0,$I$1),0)))</f>
        <v>1</v>
      </c>
      <c r="E69" s="18" t="n">
        <f aca="true">MIN(7,MAX(1,ROUND(4+$I$2*$B69+_xlfn.NORM.INV(RAND(),0,$I$1),0)))</f>
        <v>2</v>
      </c>
      <c r="F69" s="18" t="n">
        <f aca="true">MIN(7,MAX(1,ROUND(4-$I$2*$B69+_xlfn.NORM.INV(RAND(),0,$I$1),0)))</f>
        <v>7</v>
      </c>
    </row>
    <row r="70" customFormat="false" ht="15" hidden="false" customHeight="false" outlineLevel="0" collapsed="false">
      <c r="A70" s="0" t="n">
        <v>69</v>
      </c>
      <c r="B70" s="17" t="n">
        <f aca="true">_xlfn.NORM.S.INV(RAND())</f>
        <v>1.01689305176562</v>
      </c>
      <c r="C70" s="18" t="n">
        <f aca="true">MIN(7,MAX(1,ROUND(4+$I$2*$B70+_xlfn.NORM.INV(RAND(),0,$I$1),0)))</f>
        <v>4</v>
      </c>
      <c r="D70" s="18" t="n">
        <f aca="true">MIN(7,MAX(1,ROUND(4+$I$2*$B70+_xlfn.NORM.INV(RAND(),0,$I$1),0)))</f>
        <v>5</v>
      </c>
      <c r="E70" s="18" t="n">
        <f aca="true">MIN(7,MAX(1,ROUND(4+$I$2*$B70+_xlfn.NORM.INV(RAND(),0,$I$1),0)))</f>
        <v>5</v>
      </c>
      <c r="F70" s="18" t="n">
        <f aca="true">MIN(7,MAX(1,ROUND(4-$I$2*$B70+_xlfn.NORM.INV(RAND(),0,$I$1),0)))</f>
        <v>2</v>
      </c>
    </row>
    <row r="71" customFormat="false" ht="15" hidden="false" customHeight="false" outlineLevel="0" collapsed="false">
      <c r="A71" s="0" t="n">
        <v>70</v>
      </c>
      <c r="B71" s="17" t="n">
        <f aca="true">_xlfn.NORM.S.INV(RAND())</f>
        <v>0.160526584280667</v>
      </c>
      <c r="C71" s="18" t="n">
        <f aca="true">MIN(7,MAX(1,ROUND(4+$I$2*$B71+_xlfn.NORM.INV(RAND(),0,$I$1),0)))</f>
        <v>4</v>
      </c>
      <c r="D71" s="18" t="n">
        <f aca="true">MIN(7,MAX(1,ROUND(4+$I$2*$B71+_xlfn.NORM.INV(RAND(),0,$I$1),0)))</f>
        <v>5</v>
      </c>
      <c r="E71" s="18" t="n">
        <f aca="true">MIN(7,MAX(1,ROUND(4+$I$2*$B71+_xlfn.NORM.INV(RAND(),0,$I$1),0)))</f>
        <v>5</v>
      </c>
      <c r="F71" s="18" t="n">
        <f aca="true">MIN(7,MAX(1,ROUND(4-$I$2*$B71+_xlfn.NORM.INV(RAND(),0,$I$1),0)))</f>
        <v>4</v>
      </c>
    </row>
    <row r="72" customFormat="false" ht="15" hidden="false" customHeight="false" outlineLevel="0" collapsed="false">
      <c r="A72" s="0" t="n">
        <v>71</v>
      </c>
      <c r="B72" s="17" t="n">
        <f aca="true">_xlfn.NORM.S.INV(RAND())</f>
        <v>-0.802463892477902</v>
      </c>
      <c r="C72" s="18" t="n">
        <f aca="true">MIN(7,MAX(1,ROUND(4+$I$2*$B72+_xlfn.NORM.INV(RAND(),0,$I$1),0)))</f>
        <v>4</v>
      </c>
      <c r="D72" s="18" t="n">
        <f aca="true">MIN(7,MAX(1,ROUND(4+$I$2*$B72+_xlfn.NORM.INV(RAND(),0,$I$1),0)))</f>
        <v>5</v>
      </c>
      <c r="E72" s="18" t="n">
        <f aca="true">MIN(7,MAX(1,ROUND(4+$I$2*$B72+_xlfn.NORM.INV(RAND(),0,$I$1),0)))</f>
        <v>2</v>
      </c>
      <c r="F72" s="18" t="n">
        <f aca="true">MIN(7,MAX(1,ROUND(4-$I$2*$B72+_xlfn.NORM.INV(RAND(),0,$I$1),0)))</f>
        <v>4</v>
      </c>
    </row>
    <row r="73" customFormat="false" ht="15" hidden="false" customHeight="false" outlineLevel="0" collapsed="false">
      <c r="A73" s="0" t="n">
        <v>72</v>
      </c>
      <c r="B73" s="17" t="n">
        <f aca="true">_xlfn.NORM.S.INV(RAND())</f>
        <v>0.457720107208004</v>
      </c>
      <c r="C73" s="18" t="n">
        <f aca="true">MIN(7,MAX(1,ROUND(4+$I$2*$B73+_xlfn.NORM.INV(RAND(),0,$I$1),0)))</f>
        <v>3</v>
      </c>
      <c r="D73" s="18" t="n">
        <f aca="true">MIN(7,MAX(1,ROUND(4+$I$2*$B73+_xlfn.NORM.INV(RAND(),0,$I$1),0)))</f>
        <v>5</v>
      </c>
      <c r="E73" s="18" t="n">
        <f aca="true">MIN(7,MAX(1,ROUND(4+$I$2*$B73+_xlfn.NORM.INV(RAND(),0,$I$1),0)))</f>
        <v>5</v>
      </c>
      <c r="F73" s="18" t="n">
        <f aca="true">MIN(7,MAX(1,ROUND(4-$I$2*$B73+_xlfn.NORM.INV(RAND(),0,$I$1),0)))</f>
        <v>3</v>
      </c>
    </row>
    <row r="74" customFormat="false" ht="15" hidden="false" customHeight="false" outlineLevel="0" collapsed="false">
      <c r="A74" s="0" t="n">
        <v>73</v>
      </c>
      <c r="B74" s="17" t="n">
        <f aca="true">_xlfn.NORM.S.INV(RAND())</f>
        <v>-1.38778455596054</v>
      </c>
      <c r="C74" s="18" t="n">
        <f aca="true">MIN(7,MAX(1,ROUND(4+$I$2*$B74+_xlfn.NORM.INV(RAND(),0,$I$1),0)))</f>
        <v>4</v>
      </c>
      <c r="D74" s="18" t="n">
        <f aca="true">MIN(7,MAX(1,ROUND(4+$I$2*$B74+_xlfn.NORM.INV(RAND(),0,$I$1),0)))</f>
        <v>5</v>
      </c>
      <c r="E74" s="18" t="n">
        <f aca="true">MIN(7,MAX(1,ROUND(4+$I$2*$B74+_xlfn.NORM.INV(RAND(),0,$I$1),0)))</f>
        <v>4</v>
      </c>
      <c r="F74" s="18" t="n">
        <f aca="true">MIN(7,MAX(1,ROUND(4-$I$2*$B74+_xlfn.NORM.INV(RAND(),0,$I$1),0)))</f>
        <v>4</v>
      </c>
    </row>
    <row r="75" customFormat="false" ht="15" hidden="false" customHeight="false" outlineLevel="0" collapsed="false">
      <c r="A75" s="0" t="n">
        <v>74</v>
      </c>
      <c r="B75" s="17" t="n">
        <f aca="true">_xlfn.NORM.S.INV(RAND())</f>
        <v>2.51799235392907</v>
      </c>
      <c r="C75" s="18" t="n">
        <f aca="true">MIN(7,MAX(1,ROUND(4+$I$2*$B75+_xlfn.NORM.INV(RAND(),0,$I$1),0)))</f>
        <v>7</v>
      </c>
      <c r="D75" s="18" t="n">
        <f aca="true">MIN(7,MAX(1,ROUND(4+$I$2*$B75+_xlfn.NORM.INV(RAND(),0,$I$1),0)))</f>
        <v>7</v>
      </c>
      <c r="E75" s="18" t="n">
        <f aca="true">MIN(7,MAX(1,ROUND(4+$I$2*$B75+_xlfn.NORM.INV(RAND(),0,$I$1),0)))</f>
        <v>7</v>
      </c>
      <c r="F75" s="18" t="n">
        <f aca="true">MIN(7,MAX(1,ROUND(4-$I$2*$B75+_xlfn.NORM.INV(RAND(),0,$I$1),0)))</f>
        <v>1</v>
      </c>
    </row>
    <row r="76" customFormat="false" ht="15" hidden="false" customHeight="false" outlineLevel="0" collapsed="false">
      <c r="A76" s="0" t="n">
        <v>75</v>
      </c>
      <c r="B76" s="17" t="n">
        <f aca="true">_xlfn.NORM.S.INV(RAND())</f>
        <v>-0.659642921589517</v>
      </c>
      <c r="C76" s="18" t="n">
        <f aca="true">MIN(7,MAX(1,ROUND(4+$I$2*$B76+_xlfn.NORM.INV(RAND(),0,$I$1),0)))</f>
        <v>4</v>
      </c>
      <c r="D76" s="18" t="n">
        <f aca="true">MIN(7,MAX(1,ROUND(4+$I$2*$B76+_xlfn.NORM.INV(RAND(),0,$I$1),0)))</f>
        <v>4</v>
      </c>
      <c r="E76" s="18" t="n">
        <f aca="true">MIN(7,MAX(1,ROUND(4+$I$2*$B76+_xlfn.NORM.INV(RAND(),0,$I$1),0)))</f>
        <v>2</v>
      </c>
      <c r="F76" s="18" t="n">
        <f aca="true">MIN(7,MAX(1,ROUND(4-$I$2*$B76+_xlfn.NORM.INV(RAND(),0,$I$1),0)))</f>
        <v>5</v>
      </c>
    </row>
    <row r="77" customFormat="false" ht="15" hidden="false" customHeight="false" outlineLevel="0" collapsed="false">
      <c r="A77" s="0" t="n">
        <v>76</v>
      </c>
      <c r="B77" s="17" t="n">
        <f aca="true">_xlfn.NORM.S.INV(RAND())</f>
        <v>0.798504571374676</v>
      </c>
      <c r="C77" s="18" t="n">
        <f aca="true">MIN(7,MAX(1,ROUND(4+$I$2*$B77+_xlfn.NORM.INV(RAND(),0,$I$1),0)))</f>
        <v>6</v>
      </c>
      <c r="D77" s="18" t="n">
        <f aca="true">MIN(7,MAX(1,ROUND(4+$I$2*$B77+_xlfn.NORM.INV(RAND(),0,$I$1),0)))</f>
        <v>6</v>
      </c>
      <c r="E77" s="18" t="n">
        <f aca="true">MIN(7,MAX(1,ROUND(4+$I$2*$B77+_xlfn.NORM.INV(RAND(),0,$I$1),0)))</f>
        <v>6</v>
      </c>
      <c r="F77" s="18" t="n">
        <f aca="true">MIN(7,MAX(1,ROUND(4-$I$2*$B77+_xlfn.NORM.INV(RAND(),0,$I$1),0)))</f>
        <v>3</v>
      </c>
    </row>
    <row r="78" customFormat="false" ht="15" hidden="false" customHeight="false" outlineLevel="0" collapsed="false">
      <c r="A78" s="0" t="n">
        <v>77</v>
      </c>
      <c r="B78" s="17" t="n">
        <f aca="true">_xlfn.NORM.S.INV(RAND())</f>
        <v>-0.802054613323174</v>
      </c>
      <c r="C78" s="18" t="n">
        <f aca="true">MIN(7,MAX(1,ROUND(4+$I$2*$B78+_xlfn.NORM.INV(RAND(),0,$I$1),0)))</f>
        <v>3</v>
      </c>
      <c r="D78" s="18" t="n">
        <f aca="true">MIN(7,MAX(1,ROUND(4+$I$2*$B78+_xlfn.NORM.INV(RAND(),0,$I$1),0)))</f>
        <v>2</v>
      </c>
      <c r="E78" s="18" t="n">
        <f aca="true">MIN(7,MAX(1,ROUND(4+$I$2*$B78+_xlfn.NORM.INV(RAND(),0,$I$1),0)))</f>
        <v>4</v>
      </c>
      <c r="F78" s="18" t="n">
        <f aca="true">MIN(7,MAX(1,ROUND(4-$I$2*$B78+_xlfn.NORM.INV(RAND(),0,$I$1),0)))</f>
        <v>5</v>
      </c>
    </row>
    <row r="79" customFormat="false" ht="15" hidden="false" customHeight="false" outlineLevel="0" collapsed="false">
      <c r="A79" s="0" t="n">
        <v>78</v>
      </c>
      <c r="B79" s="17" t="n">
        <f aca="true">_xlfn.NORM.S.INV(RAND())</f>
        <v>-0.856447036127689</v>
      </c>
      <c r="C79" s="18" t="n">
        <f aca="true">MIN(7,MAX(1,ROUND(4+$I$2*$B79+_xlfn.NORM.INV(RAND(),0,$I$1),0)))</f>
        <v>3</v>
      </c>
      <c r="D79" s="18" t="n">
        <f aca="true">MIN(7,MAX(1,ROUND(4+$I$2*$B79+_xlfn.NORM.INV(RAND(),0,$I$1),0)))</f>
        <v>3</v>
      </c>
      <c r="E79" s="18" t="n">
        <f aca="true">MIN(7,MAX(1,ROUND(4+$I$2*$B79+_xlfn.NORM.INV(RAND(),0,$I$1),0)))</f>
        <v>2</v>
      </c>
      <c r="F79" s="18" t="n">
        <f aca="true">MIN(7,MAX(1,ROUND(4-$I$2*$B79+_xlfn.NORM.INV(RAND(),0,$I$1),0)))</f>
        <v>5</v>
      </c>
    </row>
    <row r="80" customFormat="false" ht="15" hidden="false" customHeight="false" outlineLevel="0" collapsed="false">
      <c r="A80" s="0" t="n">
        <v>79</v>
      </c>
      <c r="B80" s="17" t="n">
        <f aca="true">_xlfn.NORM.S.INV(RAND())</f>
        <v>0.341574932145447</v>
      </c>
      <c r="C80" s="18" t="n">
        <f aca="true">MIN(7,MAX(1,ROUND(4+$I$2*$B80+_xlfn.NORM.INV(RAND(),0,$I$1),0)))</f>
        <v>4</v>
      </c>
      <c r="D80" s="18" t="n">
        <f aca="true">MIN(7,MAX(1,ROUND(4+$I$2*$B80+_xlfn.NORM.INV(RAND(),0,$I$1),0)))</f>
        <v>5</v>
      </c>
      <c r="E80" s="18" t="n">
        <f aca="true">MIN(7,MAX(1,ROUND(4+$I$2*$B80+_xlfn.NORM.INV(RAND(),0,$I$1),0)))</f>
        <v>5</v>
      </c>
      <c r="F80" s="18" t="n">
        <f aca="true">MIN(7,MAX(1,ROUND(4-$I$2*$B80+_xlfn.NORM.INV(RAND(),0,$I$1),0)))</f>
        <v>3</v>
      </c>
    </row>
    <row r="81" customFormat="false" ht="15" hidden="false" customHeight="false" outlineLevel="0" collapsed="false">
      <c r="A81" s="0" t="n">
        <v>80</v>
      </c>
      <c r="B81" s="17" t="n">
        <f aca="true">_xlfn.NORM.S.INV(RAND())</f>
        <v>0.076651609262491</v>
      </c>
      <c r="C81" s="18" t="n">
        <f aca="true">MIN(7,MAX(1,ROUND(4+$I$2*$B81+_xlfn.NORM.INV(RAND(),0,$I$1),0)))</f>
        <v>4</v>
      </c>
      <c r="D81" s="18" t="n">
        <f aca="true">MIN(7,MAX(1,ROUND(4+$I$2*$B81+_xlfn.NORM.INV(RAND(),0,$I$1),0)))</f>
        <v>5</v>
      </c>
      <c r="E81" s="18" t="n">
        <f aca="true">MIN(7,MAX(1,ROUND(4+$I$2*$B81+_xlfn.NORM.INV(RAND(),0,$I$1),0)))</f>
        <v>6</v>
      </c>
      <c r="F81" s="18" t="n">
        <f aca="true">MIN(7,MAX(1,ROUND(4-$I$2*$B81+_xlfn.NORM.INV(RAND(),0,$I$1),0)))</f>
        <v>6</v>
      </c>
    </row>
    <row r="82" customFormat="false" ht="15" hidden="false" customHeight="false" outlineLevel="0" collapsed="false">
      <c r="A82" s="0" t="n">
        <v>81</v>
      </c>
      <c r="B82" s="17" t="n">
        <f aca="true">_xlfn.NORM.S.INV(RAND())</f>
        <v>1.09338965333306</v>
      </c>
      <c r="C82" s="18" t="n">
        <f aca="true">MIN(7,MAX(1,ROUND(4+$I$2*$B82+_xlfn.NORM.INV(RAND(),0,$I$1),0)))</f>
        <v>5</v>
      </c>
      <c r="D82" s="18" t="n">
        <f aca="true">MIN(7,MAX(1,ROUND(4+$I$2*$B82+_xlfn.NORM.INV(RAND(),0,$I$1),0)))</f>
        <v>6</v>
      </c>
      <c r="E82" s="18" t="n">
        <f aca="true">MIN(7,MAX(1,ROUND(4+$I$2*$B82+_xlfn.NORM.INV(RAND(),0,$I$1),0)))</f>
        <v>6</v>
      </c>
      <c r="F82" s="18" t="n">
        <f aca="true">MIN(7,MAX(1,ROUND(4-$I$2*$B82+_xlfn.NORM.INV(RAND(),0,$I$1),0)))</f>
        <v>3</v>
      </c>
    </row>
    <row r="83" customFormat="false" ht="15" hidden="false" customHeight="false" outlineLevel="0" collapsed="false">
      <c r="A83" s="0" t="n">
        <v>82</v>
      </c>
      <c r="B83" s="17" t="n">
        <f aca="true">_xlfn.NORM.S.INV(RAND())</f>
        <v>-1.21335148310689</v>
      </c>
      <c r="C83" s="18" t="n">
        <f aca="true">MIN(7,MAX(1,ROUND(4+$I$2*$B83+_xlfn.NORM.INV(RAND(),0,$I$1),0)))</f>
        <v>1</v>
      </c>
      <c r="D83" s="18" t="n">
        <f aca="true">MIN(7,MAX(1,ROUND(4+$I$2*$B83+_xlfn.NORM.INV(RAND(),0,$I$1),0)))</f>
        <v>2</v>
      </c>
      <c r="E83" s="18" t="n">
        <f aca="true">MIN(7,MAX(1,ROUND(4+$I$2*$B83+_xlfn.NORM.INV(RAND(),0,$I$1),0)))</f>
        <v>2</v>
      </c>
      <c r="F83" s="18" t="n">
        <f aca="true">MIN(7,MAX(1,ROUND(4-$I$2*$B83+_xlfn.NORM.INV(RAND(),0,$I$1),0)))</f>
        <v>5</v>
      </c>
    </row>
    <row r="84" customFormat="false" ht="15" hidden="false" customHeight="false" outlineLevel="0" collapsed="false">
      <c r="A84" s="0" t="n">
        <v>83</v>
      </c>
      <c r="B84" s="17" t="n">
        <f aca="true">_xlfn.NORM.S.INV(RAND())</f>
        <v>0.538903468267092</v>
      </c>
      <c r="C84" s="18" t="n">
        <f aca="true">MIN(7,MAX(1,ROUND(4+$I$2*$B84+_xlfn.NORM.INV(RAND(),0,$I$1),0)))</f>
        <v>4</v>
      </c>
      <c r="D84" s="18" t="n">
        <f aca="true">MIN(7,MAX(1,ROUND(4+$I$2*$B84+_xlfn.NORM.INV(RAND(),0,$I$1),0)))</f>
        <v>4</v>
      </c>
      <c r="E84" s="18" t="n">
        <f aca="true">MIN(7,MAX(1,ROUND(4+$I$2*$B84+_xlfn.NORM.INV(RAND(),0,$I$1),0)))</f>
        <v>4</v>
      </c>
      <c r="F84" s="18" t="n">
        <f aca="true">MIN(7,MAX(1,ROUND(4-$I$2*$B84+_xlfn.NORM.INV(RAND(),0,$I$1),0)))</f>
        <v>6</v>
      </c>
    </row>
    <row r="85" customFormat="false" ht="15" hidden="false" customHeight="false" outlineLevel="0" collapsed="false">
      <c r="A85" s="0" t="n">
        <v>84</v>
      </c>
      <c r="B85" s="17" t="n">
        <f aca="true">_xlfn.NORM.S.INV(RAND())</f>
        <v>-0.766221115885381</v>
      </c>
      <c r="C85" s="18" t="n">
        <f aca="true">MIN(7,MAX(1,ROUND(4+$I$2*$B85+_xlfn.NORM.INV(RAND(),0,$I$1),0)))</f>
        <v>4</v>
      </c>
      <c r="D85" s="18" t="n">
        <f aca="true">MIN(7,MAX(1,ROUND(4+$I$2*$B85+_xlfn.NORM.INV(RAND(),0,$I$1),0)))</f>
        <v>3</v>
      </c>
      <c r="E85" s="18" t="n">
        <f aca="true">MIN(7,MAX(1,ROUND(4+$I$2*$B85+_xlfn.NORM.INV(RAND(),0,$I$1),0)))</f>
        <v>3</v>
      </c>
      <c r="F85" s="18" t="n">
        <f aca="true">MIN(7,MAX(1,ROUND(4-$I$2*$B85+_xlfn.NORM.INV(RAND(),0,$I$1),0)))</f>
        <v>5</v>
      </c>
    </row>
    <row r="86" customFormat="false" ht="15" hidden="false" customHeight="false" outlineLevel="0" collapsed="false">
      <c r="A86" s="0" t="n">
        <v>85</v>
      </c>
      <c r="B86" s="17" t="n">
        <f aca="true">_xlfn.NORM.S.INV(RAND())</f>
        <v>0.0381146626948017</v>
      </c>
      <c r="C86" s="18" t="n">
        <f aca="true">MIN(7,MAX(1,ROUND(4+$I$2*$B86+_xlfn.NORM.INV(RAND(),0,$I$1),0)))</f>
        <v>4</v>
      </c>
      <c r="D86" s="18" t="n">
        <f aca="true">MIN(7,MAX(1,ROUND(4+$I$2*$B86+_xlfn.NORM.INV(RAND(),0,$I$1),0)))</f>
        <v>3</v>
      </c>
      <c r="E86" s="18" t="n">
        <f aca="true">MIN(7,MAX(1,ROUND(4+$I$2*$B86+_xlfn.NORM.INV(RAND(),0,$I$1),0)))</f>
        <v>3</v>
      </c>
      <c r="F86" s="18" t="n">
        <f aca="true">MIN(7,MAX(1,ROUND(4-$I$2*$B86+_xlfn.NORM.INV(RAND(),0,$I$1),0)))</f>
        <v>5</v>
      </c>
    </row>
    <row r="87" customFormat="false" ht="15" hidden="false" customHeight="false" outlineLevel="0" collapsed="false">
      <c r="A87" s="0" t="n">
        <v>86</v>
      </c>
      <c r="B87" s="17" t="n">
        <f aca="true">_xlfn.NORM.S.INV(RAND())</f>
        <v>1.5297783311605</v>
      </c>
      <c r="C87" s="18" t="n">
        <f aca="true">MIN(7,MAX(1,ROUND(4+$I$2*$B87+_xlfn.NORM.INV(RAND(),0,$I$1),0)))</f>
        <v>5</v>
      </c>
      <c r="D87" s="18" t="n">
        <f aca="true">MIN(7,MAX(1,ROUND(4+$I$2*$B87+_xlfn.NORM.INV(RAND(),0,$I$1),0)))</f>
        <v>5</v>
      </c>
      <c r="E87" s="18" t="n">
        <f aca="true">MIN(7,MAX(1,ROUND(4+$I$2*$B87+_xlfn.NORM.INV(RAND(),0,$I$1),0)))</f>
        <v>7</v>
      </c>
      <c r="F87" s="18" t="n">
        <f aca="true">MIN(7,MAX(1,ROUND(4-$I$2*$B87+_xlfn.NORM.INV(RAND(),0,$I$1),0)))</f>
        <v>3</v>
      </c>
    </row>
    <row r="88" customFormat="false" ht="15" hidden="false" customHeight="false" outlineLevel="0" collapsed="false">
      <c r="A88" s="0" t="n">
        <v>87</v>
      </c>
      <c r="B88" s="17" t="n">
        <f aca="true">_xlfn.NORM.S.INV(RAND())</f>
        <v>0.0589506253494206</v>
      </c>
      <c r="C88" s="18" t="n">
        <f aca="true">MIN(7,MAX(1,ROUND(4+$I$2*$B88+_xlfn.NORM.INV(RAND(),0,$I$1),0)))</f>
        <v>4</v>
      </c>
      <c r="D88" s="18" t="n">
        <f aca="true">MIN(7,MAX(1,ROUND(4+$I$2*$B88+_xlfn.NORM.INV(RAND(),0,$I$1),0)))</f>
        <v>4</v>
      </c>
      <c r="E88" s="18" t="n">
        <f aca="true">MIN(7,MAX(1,ROUND(4+$I$2*$B88+_xlfn.NORM.INV(RAND(),0,$I$1),0)))</f>
        <v>4</v>
      </c>
      <c r="F88" s="18" t="n">
        <f aca="true">MIN(7,MAX(1,ROUND(4-$I$2*$B88+_xlfn.NORM.INV(RAND(),0,$I$1),0)))</f>
        <v>6</v>
      </c>
    </row>
    <row r="89" customFormat="false" ht="15" hidden="false" customHeight="false" outlineLevel="0" collapsed="false">
      <c r="A89" s="0" t="n">
        <v>88</v>
      </c>
      <c r="B89" s="17" t="n">
        <f aca="true">_xlfn.NORM.S.INV(RAND())</f>
        <v>-0.0159966667509911</v>
      </c>
      <c r="C89" s="18" t="n">
        <f aca="true">MIN(7,MAX(1,ROUND(4+$I$2*$B89+_xlfn.NORM.INV(RAND(),0,$I$1),0)))</f>
        <v>2</v>
      </c>
      <c r="D89" s="18" t="n">
        <f aca="true">MIN(7,MAX(1,ROUND(4+$I$2*$B89+_xlfn.NORM.INV(RAND(),0,$I$1),0)))</f>
        <v>3</v>
      </c>
      <c r="E89" s="18" t="n">
        <f aca="true">MIN(7,MAX(1,ROUND(4+$I$2*$B89+_xlfn.NORM.INV(RAND(),0,$I$1),0)))</f>
        <v>3</v>
      </c>
      <c r="F89" s="18" t="n">
        <f aca="true">MIN(7,MAX(1,ROUND(4-$I$2*$B89+_xlfn.NORM.INV(RAND(),0,$I$1),0)))</f>
        <v>4</v>
      </c>
    </row>
    <row r="90" customFormat="false" ht="15" hidden="false" customHeight="false" outlineLevel="0" collapsed="false">
      <c r="A90" s="0" t="n">
        <v>89</v>
      </c>
      <c r="B90" s="17" t="n">
        <f aca="true">_xlfn.NORM.S.INV(RAND())</f>
        <v>1.58569312258667</v>
      </c>
      <c r="C90" s="18" t="n">
        <f aca="true">MIN(7,MAX(1,ROUND(4+$I$2*$B90+_xlfn.NORM.INV(RAND(),0,$I$1),0)))</f>
        <v>6</v>
      </c>
      <c r="D90" s="18" t="n">
        <f aca="true">MIN(7,MAX(1,ROUND(4+$I$2*$B90+_xlfn.NORM.INV(RAND(),0,$I$1),0)))</f>
        <v>7</v>
      </c>
      <c r="E90" s="18" t="n">
        <f aca="true">MIN(7,MAX(1,ROUND(4+$I$2*$B90+_xlfn.NORM.INV(RAND(),0,$I$1),0)))</f>
        <v>5</v>
      </c>
      <c r="F90" s="18" t="n">
        <f aca="true">MIN(7,MAX(1,ROUND(4-$I$2*$B90+_xlfn.NORM.INV(RAND(),0,$I$1),0)))</f>
        <v>3</v>
      </c>
    </row>
    <row r="91" customFormat="false" ht="15" hidden="false" customHeight="false" outlineLevel="0" collapsed="false">
      <c r="A91" s="0" t="n">
        <v>90</v>
      </c>
      <c r="B91" s="17" t="n">
        <f aca="true">_xlfn.NORM.S.INV(RAND())</f>
        <v>0.0491188466506317</v>
      </c>
      <c r="C91" s="18" t="n">
        <f aca="true">MIN(7,MAX(1,ROUND(4+$I$2*$B91+_xlfn.NORM.INV(RAND(),0,$I$1),0)))</f>
        <v>5</v>
      </c>
      <c r="D91" s="18" t="n">
        <f aca="true">MIN(7,MAX(1,ROUND(4+$I$2*$B91+_xlfn.NORM.INV(RAND(),0,$I$1),0)))</f>
        <v>6</v>
      </c>
      <c r="E91" s="18" t="n">
        <f aca="true">MIN(7,MAX(1,ROUND(4+$I$2*$B91+_xlfn.NORM.INV(RAND(),0,$I$1),0)))</f>
        <v>4</v>
      </c>
      <c r="F91" s="18" t="n">
        <f aca="true">MIN(7,MAX(1,ROUND(4-$I$2*$B91+_xlfn.NORM.INV(RAND(),0,$I$1),0)))</f>
        <v>6</v>
      </c>
    </row>
    <row r="92" customFormat="false" ht="15" hidden="false" customHeight="false" outlineLevel="0" collapsed="false">
      <c r="A92" s="0" t="n">
        <v>91</v>
      </c>
      <c r="B92" s="17" t="n">
        <f aca="true">_xlfn.NORM.S.INV(RAND())</f>
        <v>0.831493628214728</v>
      </c>
      <c r="C92" s="18" t="n">
        <f aca="true">MIN(7,MAX(1,ROUND(4+$I$2*$B92+_xlfn.NORM.INV(RAND(),0,$I$1),0)))</f>
        <v>5</v>
      </c>
      <c r="D92" s="18" t="n">
        <f aca="true">MIN(7,MAX(1,ROUND(4+$I$2*$B92+_xlfn.NORM.INV(RAND(),0,$I$1),0)))</f>
        <v>6</v>
      </c>
      <c r="E92" s="18" t="n">
        <f aca="true">MIN(7,MAX(1,ROUND(4+$I$2*$B92+_xlfn.NORM.INV(RAND(),0,$I$1),0)))</f>
        <v>5</v>
      </c>
      <c r="F92" s="18" t="n">
        <f aca="true">MIN(7,MAX(1,ROUND(4-$I$2*$B92+_xlfn.NORM.INV(RAND(),0,$I$1),0)))</f>
        <v>3</v>
      </c>
    </row>
    <row r="93" customFormat="false" ht="15" hidden="false" customHeight="false" outlineLevel="0" collapsed="false">
      <c r="A93" s="0" t="n">
        <v>92</v>
      </c>
      <c r="B93" s="17" t="n">
        <f aca="true">_xlfn.NORM.S.INV(RAND())</f>
        <v>-1.48831413225582</v>
      </c>
      <c r="C93" s="18" t="n">
        <f aca="true">MIN(7,MAX(1,ROUND(4+$I$2*$B93+_xlfn.NORM.INV(RAND(),0,$I$1),0)))</f>
        <v>3</v>
      </c>
      <c r="D93" s="18" t="n">
        <f aca="true">MIN(7,MAX(1,ROUND(4+$I$2*$B93+_xlfn.NORM.INV(RAND(),0,$I$1),0)))</f>
        <v>3</v>
      </c>
      <c r="E93" s="18" t="n">
        <f aca="true">MIN(7,MAX(1,ROUND(4+$I$2*$B93+_xlfn.NORM.INV(RAND(),0,$I$1),0)))</f>
        <v>2</v>
      </c>
      <c r="F93" s="18" t="n">
        <f aca="true">MIN(7,MAX(1,ROUND(4-$I$2*$B93+_xlfn.NORM.INV(RAND(),0,$I$1),0)))</f>
        <v>7</v>
      </c>
    </row>
    <row r="94" customFormat="false" ht="15" hidden="false" customHeight="false" outlineLevel="0" collapsed="false">
      <c r="A94" s="0" t="n">
        <v>93</v>
      </c>
      <c r="B94" s="17" t="n">
        <f aca="true">_xlfn.NORM.S.INV(RAND())</f>
        <v>1.52765719522995</v>
      </c>
      <c r="C94" s="18" t="n">
        <f aca="true">MIN(7,MAX(1,ROUND(4+$I$2*$B94+_xlfn.NORM.INV(RAND(),0,$I$1),0)))</f>
        <v>7</v>
      </c>
      <c r="D94" s="18" t="n">
        <f aca="true">MIN(7,MAX(1,ROUND(4+$I$2*$B94+_xlfn.NORM.INV(RAND(),0,$I$1),0)))</f>
        <v>6</v>
      </c>
      <c r="E94" s="18" t="n">
        <f aca="true">MIN(7,MAX(1,ROUND(4+$I$2*$B94+_xlfn.NORM.INV(RAND(),0,$I$1),0)))</f>
        <v>6</v>
      </c>
      <c r="F94" s="18" t="n">
        <f aca="true">MIN(7,MAX(1,ROUND(4-$I$2*$B94+_xlfn.NORM.INV(RAND(),0,$I$1),0)))</f>
        <v>4</v>
      </c>
    </row>
    <row r="95" customFormat="false" ht="15" hidden="false" customHeight="false" outlineLevel="0" collapsed="false">
      <c r="A95" s="0" t="n">
        <v>94</v>
      </c>
      <c r="B95" s="17" t="n">
        <f aca="true">_xlfn.NORM.S.INV(RAND())</f>
        <v>-0.263477437969508</v>
      </c>
      <c r="C95" s="18" t="n">
        <f aca="true">MIN(7,MAX(1,ROUND(4+$I$2*$B95+_xlfn.NORM.INV(RAND(),0,$I$1),0)))</f>
        <v>6</v>
      </c>
      <c r="D95" s="18" t="n">
        <f aca="true">MIN(7,MAX(1,ROUND(4+$I$2*$B95+_xlfn.NORM.INV(RAND(),0,$I$1),0)))</f>
        <v>3</v>
      </c>
      <c r="E95" s="18" t="n">
        <f aca="true">MIN(7,MAX(1,ROUND(4+$I$2*$B95+_xlfn.NORM.INV(RAND(),0,$I$1),0)))</f>
        <v>2</v>
      </c>
      <c r="F95" s="18" t="n">
        <f aca="true">MIN(7,MAX(1,ROUND(4-$I$2*$B95+_xlfn.NORM.INV(RAND(),0,$I$1),0)))</f>
        <v>5</v>
      </c>
    </row>
    <row r="96" customFormat="false" ht="15" hidden="false" customHeight="false" outlineLevel="0" collapsed="false">
      <c r="A96" s="0" t="n">
        <v>95</v>
      </c>
      <c r="B96" s="17" t="n">
        <f aca="true">_xlfn.NORM.S.INV(RAND())</f>
        <v>1.12159126237104</v>
      </c>
      <c r="C96" s="18" t="n">
        <f aca="true">MIN(7,MAX(1,ROUND(4+$I$2*$B96+_xlfn.NORM.INV(RAND(),0,$I$1),0)))</f>
        <v>5</v>
      </c>
      <c r="D96" s="18" t="n">
        <f aca="true">MIN(7,MAX(1,ROUND(4+$I$2*$B96+_xlfn.NORM.INV(RAND(),0,$I$1),0)))</f>
        <v>4</v>
      </c>
      <c r="E96" s="18" t="n">
        <f aca="true">MIN(7,MAX(1,ROUND(4+$I$2*$B96+_xlfn.NORM.INV(RAND(),0,$I$1),0)))</f>
        <v>6</v>
      </c>
      <c r="F96" s="18" t="n">
        <f aca="true">MIN(7,MAX(1,ROUND(4-$I$2*$B96+_xlfn.NORM.INV(RAND(),0,$I$1),0)))</f>
        <v>2</v>
      </c>
    </row>
    <row r="97" customFormat="false" ht="15" hidden="false" customHeight="false" outlineLevel="0" collapsed="false">
      <c r="A97" s="0" t="n">
        <v>96</v>
      </c>
      <c r="B97" s="17" t="n">
        <f aca="true">_xlfn.NORM.S.INV(RAND())</f>
        <v>1.35585797818169</v>
      </c>
      <c r="C97" s="18" t="n">
        <f aca="true">MIN(7,MAX(1,ROUND(4+$I$2*$B97+_xlfn.NORM.INV(RAND(),0,$I$1),0)))</f>
        <v>6</v>
      </c>
      <c r="D97" s="18" t="n">
        <f aca="true">MIN(7,MAX(1,ROUND(4+$I$2*$B97+_xlfn.NORM.INV(RAND(),0,$I$1),0)))</f>
        <v>5</v>
      </c>
      <c r="E97" s="18" t="n">
        <f aca="true">MIN(7,MAX(1,ROUND(4+$I$2*$B97+_xlfn.NORM.INV(RAND(),0,$I$1),0)))</f>
        <v>4</v>
      </c>
      <c r="F97" s="18" t="n">
        <f aca="true">MIN(7,MAX(1,ROUND(4-$I$2*$B97+_xlfn.NORM.INV(RAND(),0,$I$1),0)))</f>
        <v>1</v>
      </c>
    </row>
    <row r="98" customFormat="false" ht="15" hidden="false" customHeight="false" outlineLevel="0" collapsed="false">
      <c r="A98" s="0" t="n">
        <v>97</v>
      </c>
      <c r="B98" s="17" t="n">
        <f aca="true">_xlfn.NORM.S.INV(RAND())</f>
        <v>-0.18414874665106</v>
      </c>
      <c r="C98" s="18" t="n">
        <f aca="true">MIN(7,MAX(1,ROUND(4+$I$2*$B98+_xlfn.NORM.INV(RAND(),0,$I$1),0)))</f>
        <v>5</v>
      </c>
      <c r="D98" s="18" t="n">
        <f aca="true">MIN(7,MAX(1,ROUND(4+$I$2*$B98+_xlfn.NORM.INV(RAND(),0,$I$1),0)))</f>
        <v>3</v>
      </c>
      <c r="E98" s="18" t="n">
        <f aca="true">MIN(7,MAX(1,ROUND(4+$I$2*$B98+_xlfn.NORM.INV(RAND(),0,$I$1),0)))</f>
        <v>4</v>
      </c>
      <c r="F98" s="18" t="n">
        <f aca="true">MIN(7,MAX(1,ROUND(4-$I$2*$B98+_xlfn.NORM.INV(RAND(),0,$I$1),0)))</f>
        <v>4</v>
      </c>
    </row>
    <row r="99" customFormat="false" ht="15" hidden="false" customHeight="false" outlineLevel="0" collapsed="false">
      <c r="A99" s="0" t="n">
        <v>98</v>
      </c>
      <c r="B99" s="17" t="n">
        <f aca="true">_xlfn.NORM.S.INV(RAND())</f>
        <v>0.758035684416062</v>
      </c>
      <c r="C99" s="18" t="n">
        <f aca="true">MIN(7,MAX(1,ROUND(4+$I$2*$B99+_xlfn.NORM.INV(RAND(),0,$I$1),0)))</f>
        <v>5</v>
      </c>
      <c r="D99" s="18" t="n">
        <f aca="true">MIN(7,MAX(1,ROUND(4+$I$2*$B99+_xlfn.NORM.INV(RAND(),0,$I$1),0)))</f>
        <v>6</v>
      </c>
      <c r="E99" s="18" t="n">
        <f aca="true">MIN(7,MAX(1,ROUND(4+$I$2*$B99+_xlfn.NORM.INV(RAND(),0,$I$1),0)))</f>
        <v>5</v>
      </c>
      <c r="F99" s="18" t="n">
        <f aca="true">MIN(7,MAX(1,ROUND(4-$I$2*$B99+_xlfn.NORM.INV(RAND(),0,$I$1),0)))</f>
        <v>3</v>
      </c>
    </row>
    <row r="100" customFormat="false" ht="15" hidden="false" customHeight="false" outlineLevel="0" collapsed="false">
      <c r="A100" s="0" t="n">
        <v>99</v>
      </c>
      <c r="B100" s="17" t="n">
        <f aca="true">_xlfn.NORM.S.INV(RAND())</f>
        <v>-2.81445429434974</v>
      </c>
      <c r="C100" s="18" t="n">
        <f aca="true">MIN(7,MAX(1,ROUND(4+$I$2*$B100+_xlfn.NORM.INV(RAND(),0,$I$1),0)))</f>
        <v>2</v>
      </c>
      <c r="D100" s="18" t="n">
        <f aca="true">MIN(7,MAX(1,ROUND(4+$I$2*$B100+_xlfn.NORM.INV(RAND(),0,$I$1),0)))</f>
        <v>1</v>
      </c>
      <c r="E100" s="18" t="n">
        <f aca="true">MIN(7,MAX(1,ROUND(4+$I$2*$B100+_xlfn.NORM.INV(RAND(),0,$I$1),0)))</f>
        <v>1</v>
      </c>
      <c r="F100" s="18" t="n">
        <f aca="true">MIN(7,MAX(1,ROUND(4-$I$2*$B100+_xlfn.NORM.INV(RAND(),0,$I$1),0)))</f>
        <v>7</v>
      </c>
    </row>
    <row r="101" customFormat="false" ht="15" hidden="false" customHeight="false" outlineLevel="0" collapsed="false">
      <c r="A101" s="0" t="n">
        <v>100</v>
      </c>
      <c r="B101" s="17" t="n">
        <f aca="true">_xlfn.NORM.S.INV(RAND())</f>
        <v>-0.0597506938352625</v>
      </c>
      <c r="C101" s="18" t="n">
        <f aca="true">MIN(7,MAX(1,ROUND(4+$I$2*$B101+_xlfn.NORM.INV(RAND(),0,$I$1),0)))</f>
        <v>4</v>
      </c>
      <c r="D101" s="18" t="n">
        <f aca="true">MIN(7,MAX(1,ROUND(4+$I$2*$B101+_xlfn.NORM.INV(RAND(),0,$I$1),0)))</f>
        <v>3</v>
      </c>
      <c r="E101" s="18" t="n">
        <f aca="true">MIN(7,MAX(1,ROUND(4+$I$2*$B101+_xlfn.NORM.INV(RAND(),0,$I$1),0)))</f>
        <v>3</v>
      </c>
      <c r="F101" s="18" t="n">
        <f aca="true">MIN(7,MAX(1,ROUND(4-$I$2*$B101+_xlfn.NORM.INV(RAND(),0,$I$1),0)))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2026-10-23T14:38:27Z</dcterms:created>
  <dc:creator>openpyxl</dc:creator>
  <dc:description/>
  <dc:language>en-US</dc:language>
  <cp:lastModifiedBy/>
  <dcterms:modified xsi:type="dcterms:W3CDTF">2026-10-23T14:38:27Z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